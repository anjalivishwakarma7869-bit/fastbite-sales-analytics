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https://d.docs.live.net/7e639c14c15ab121/Documents/"/>
    </mc:Choice>
  </mc:AlternateContent>
  <xr:revisionPtr revIDLastSave="452" documentId="8_{C54E150C-9F42-4335-BDE2-0288C9FF2E24}" xr6:coauthVersionLast="47" xr6:coauthVersionMax="47" xr10:uidLastSave="{B32BCC7F-A75A-4C5F-BFA7-7F3BAB7881EE}"/>
  <bookViews>
    <workbookView xWindow="-108" yWindow="-108" windowWidth="23256" windowHeight="12456" firstSheet="2" activeTab="7" xr2:uid="{00000000-000D-0000-FFFF-FFFF00000000}"/>
  </bookViews>
  <sheets>
    <sheet name="TOTAL SALE BY ITEAM" sheetId="3" r:id="rId1"/>
    <sheet name="PROFIT BY REGION" sheetId="4" r:id="rId2"/>
    <sheet name="MONTHALY SALES" sheetId="5" r:id="rId3"/>
    <sheet name="TOP 10 CUSTOMERS" sheetId="6" r:id="rId4"/>
    <sheet name="PROFIT BY ITEM" sheetId="9" r:id="rId5"/>
    <sheet name="Sheet1" sheetId="15" r:id="rId6"/>
    <sheet name="DATA" sheetId="1" r:id="rId7"/>
    <sheet name="dashbord" sheetId="14" r:id="rId8"/>
  </sheets>
  <definedNames>
    <definedName name="_xlnm._FilterDatabase" localSheetId="6" hidden="1">DATA!$A$1:$L$201</definedName>
    <definedName name="Slicer_Item">#N/A</definedName>
    <definedName name="Slicer_MONTHS">#N/A</definedName>
    <definedName name="Slicer_Profit">#N/A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10"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 i="1"/>
  <c r="B15" i="9"/>
  <c r="B17" i="6"/>
  <c r="B16" i="3"/>
  <c r="B10" i="5"/>
  <c r="B9" i="4"/>
</calcChain>
</file>

<file path=xl/sharedStrings.xml><?xml version="1.0" encoding="utf-8"?>
<sst xmlns="http://schemas.openxmlformats.org/spreadsheetml/2006/main" count="1068" uniqueCount="314">
  <si>
    <t>Order ID</t>
  </si>
  <si>
    <t>Date</t>
  </si>
  <si>
    <t>Customer Name</t>
  </si>
  <si>
    <t>Region</t>
  </si>
  <si>
    <t>Item</t>
  </si>
  <si>
    <t>Quantity</t>
  </si>
  <si>
    <t>Unit Price</t>
  </si>
  <si>
    <t>Total Amount</t>
  </si>
  <si>
    <t>Discount</t>
  </si>
  <si>
    <t>Profit</t>
  </si>
  <si>
    <t>ORD001</t>
  </si>
  <si>
    <t>ORD002</t>
  </si>
  <si>
    <t>ORD003</t>
  </si>
  <si>
    <t>ORD004</t>
  </si>
  <si>
    <t>ORD005</t>
  </si>
  <si>
    <t>ORD006</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</si>
  <si>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</si>
  <si>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</si>
  <si>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</si>
  <si>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</si>
  <si>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</si>
  <si>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</si>
  <si>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</si>
  <si>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</si>
  <si>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</si>
  <si>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</si>
  <si>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</si>
  <si>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</si>
  <si>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</si>
  <si>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</si>
  <si>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</si>
  <si>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</si>
  <si>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</si>
  <si>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</si>
  <si>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</si>
  <si>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</si>
  <si>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</si>
  <si>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</si>
  <si>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</si>
  <si>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</si>
  <si>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</si>
  <si>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</si>
  <si>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</si>
  <si>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</si>
  <si>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</si>
  <si>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</si>
  <si>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</si>
  <si>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</si>
  <si>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</si>
  <si>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</si>
  <si>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</si>
  <si>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</si>
  <si>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</si>
  <si>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</si>
  <si>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</si>
  <si>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</si>
  <si>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</si>
  <si>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</si>
  <si>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</si>
  <si>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</si>
  <si>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</si>
  <si>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</si>
  <si>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</si>
  <si>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</si>
  <si>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</si>
  <si>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</si>
  <si>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</si>
  <si>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</si>
  <si>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</si>
  <si>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</si>
  <si>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</si>
  <si>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</si>
  <si>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</si>
  <si>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</si>
  <si>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</si>
  <si>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</si>
  <si>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</si>
  <si>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</si>
  <si>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</si>
  <si>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</si>
  <si>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</si>
  <si>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</si>
  <si>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</si>
  <si>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</si>
  <si>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</si>
  <si>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</si>
  <si>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</si>
  <si>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</si>
  <si>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</si>
  <si>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</si>
  <si>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</si>
  <si>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</si>
  <si>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</si>
  <si>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</si>
  <si>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</si>
  <si>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</si>
  <si>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</si>
  <si>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</si>
  <si>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</si>
  <si>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</si>
  <si>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</si>
  <si>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</si>
  <si>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</si>
  <si>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</si>
  <si>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</si>
  <si>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</si>
  <si>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</si>
  <si>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</si>
  <si>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</si>
  <si>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</si>
  <si>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</si>
  <si>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</si>
  <si>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</si>
  <si>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</si>
  <si>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</si>
  <si>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</si>
  <si>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</si>
  <si>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</si>
  <si>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</si>
  <si>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</si>
  <si>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</si>
  <si>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</si>
  <si>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</si>
  <si>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</si>
  <si>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</si>
  <si>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</si>
  <si>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</si>
  <si>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</si>
  <si>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</si>
  <si>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</si>
  <si>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</si>
  <si>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</si>
  <si>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</si>
  <si>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</si>
  <si>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</si>
  <si>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</si>
  <si>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</si>
  <si>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</si>
  <si>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</si>
  <si>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</si>
  <si>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</si>
  <si>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</si>
  <si>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</si>
  <si>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</si>
  <si>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</si>
  <si>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</si>
  <si>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</si>
  <si>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</si>
  <si>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</si>
  <si>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</si>
  <si>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</si>
  <si>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</si>
  <si>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</si>
  <si>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</si>
  <si>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</si>
  <si>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</si>
  <si>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</si>
  <si>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</si>
  <si>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</si>
  <si>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</si>
  <si>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</si>
  <si>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</si>
  <si>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</si>
  <si>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</si>
  <si>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</si>
  <si>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</si>
  <si>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</si>
  <si>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</si>
  <si>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</si>
  <si>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</si>
  <si>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</si>
  <si>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</si>
  <si>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</si>
  <si>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</si>
  <si>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</si>
  <si>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</si>
  <si>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</si>
  <si>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</si>
  <si>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</si>
  <si>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</si>
  <si>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</si>
  <si>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</si>
  <si>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</si>
  <si>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</si>
  <si>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</si>
  <si>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</si>
  <si>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</si>
  <si>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</si>
  <si>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</si>
  <si>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</si>
  <si>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</si>
  <si>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</si>
  <si>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</si>
  <si>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</si>
  <si>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</si>
  <si>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</si>
  <si>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</si>
  <si>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</si>
  <si>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</si>
  <si>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</si>
  <si>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</si>
  <si>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</si>
  <si>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</si>
  <si>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</si>
  <si>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</si>
  <si>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</si>
  <si>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</si>
  <si>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</si>
  <si>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</si>
  <si>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</si>
  <si>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2025-02-24</t>
  </si>
  <si>
    <t>2025-03-01</t>
  </si>
  <si>
    <t>2025-02-03</t>
  </si>
  <si>
    <t>2025-01-07</t>
  </si>
  <si>
    <t>2025-01-09</t>
  </si>
  <si>
    <t>2025-01-26</t>
  </si>
  <si>
    <t>2025-02-10</t>
  </si>
  <si>
    <t>2025-01-04</t>
  </si>
  <si>
    <t>2025-01-06</t>
  </si>
  <si>
    <t>2025-02-17</t>
  </si>
  <si>
    <t>2025-01-22</t>
  </si>
  <si>
    <t>2025-02-07</t>
  </si>
  <si>
    <t>2025-01-17</t>
  </si>
  <si>
    <t>2025-01-27</t>
  </si>
  <si>
    <t>2025-02-11</t>
  </si>
  <si>
    <t>2025-02-28</t>
  </si>
  <si>
    <t>2025-02-04</t>
  </si>
  <si>
    <t>2025-02-06</t>
  </si>
  <si>
    <t>2025-01-24</t>
  </si>
  <si>
    <t>2025-02-20</t>
  </si>
  <si>
    <t>2025-01-10</t>
  </si>
  <si>
    <t>2025-01-12</t>
  </si>
  <si>
    <t>2025-01-03</t>
  </si>
  <si>
    <t>2025-01-05</t>
  </si>
  <si>
    <t>2025-01-16</t>
  </si>
  <si>
    <t>2025-01-30</t>
  </si>
  <si>
    <t>2025-02-13</t>
  </si>
  <si>
    <t>2025-01-02</t>
  </si>
  <si>
    <t>2025-01-21</t>
  </si>
  <si>
    <t>2025-02-12</t>
  </si>
  <si>
    <t>2025-02-02</t>
  </si>
  <si>
    <t>2025-01-20</t>
  </si>
  <si>
    <t>2025-02-18</t>
  </si>
  <si>
    <t>2025-02-01</t>
  </si>
  <si>
    <t>2025-01-29</t>
  </si>
  <si>
    <t>2025-01-28</t>
  </si>
  <si>
    <t>2025-02-15</t>
  </si>
  <si>
    <t>2025-02-21</t>
  </si>
  <si>
    <t>2025-02-08</t>
  </si>
  <si>
    <t>2025-01-01</t>
  </si>
  <si>
    <t>2025-02-27</t>
  </si>
  <si>
    <t>2025-02-26</t>
  </si>
  <si>
    <t>2025-01-15</t>
  </si>
  <si>
    <t>2025-02-23</t>
  </si>
  <si>
    <t>2025-02-16</t>
  </si>
  <si>
    <t>2025-02-22</t>
  </si>
  <si>
    <t>2025-01-08</t>
  </si>
  <si>
    <t>2025-01-19</t>
  </si>
  <si>
    <t>2025-01-25</t>
  </si>
  <si>
    <t>2025-03-02</t>
  </si>
  <si>
    <t>2025-02-25</t>
  </si>
  <si>
    <t>2025-01-31</t>
  </si>
  <si>
    <t>2025-01-11</t>
  </si>
  <si>
    <t>2025-01-23</t>
  </si>
  <si>
    <t>2025-01-14</t>
  </si>
  <si>
    <t>2025-01-18</t>
  </si>
  <si>
    <t>2025-01-13</t>
  </si>
  <si>
    <t>2025-02-05</t>
  </si>
  <si>
    <t>2025-02-14</t>
  </si>
  <si>
    <t>Rohit Sen</t>
  </si>
  <si>
    <t>Sneha Jain</t>
  </si>
  <si>
    <t>Vikram Chauhan</t>
  </si>
  <si>
    <t>Aditi Sharma</t>
  </si>
  <si>
    <t>Rahul Mehta</t>
  </si>
  <si>
    <t>Manoj Verma</t>
  </si>
  <si>
    <t>Karan Patel</t>
  </si>
  <si>
    <t>Sunita Das</t>
  </si>
  <si>
    <t>Anita Roy</t>
  </si>
  <si>
    <t>Rajesh Kumar</t>
  </si>
  <si>
    <t>Anand Tiwari</t>
  </si>
  <si>
    <t>Riya Das</t>
  </si>
  <si>
    <t>Arjun Nair</t>
  </si>
  <si>
    <t>Neha Gupta</t>
  </si>
  <si>
    <t>Deepika Bansal</t>
  </si>
  <si>
    <t>Kavita Reddy</t>
  </si>
  <si>
    <t>Meena Iyer</t>
  </si>
  <si>
    <t>Pooja Mishra</t>
  </si>
  <si>
    <t>Suresh Yadav</t>
  </si>
  <si>
    <t>Priya Singh</t>
  </si>
  <si>
    <t>East</t>
  </si>
  <si>
    <t>North</t>
  </si>
  <si>
    <t>West</t>
  </si>
  <si>
    <t>South</t>
  </si>
  <si>
    <t>Pasta</t>
  </si>
  <si>
    <t>Burger</t>
  </si>
  <si>
    <t>French Fries</t>
  </si>
  <si>
    <t>Momos</t>
  </si>
  <si>
    <t>Chicken Wings</t>
  </si>
  <si>
    <t>Sandwich</t>
  </si>
  <si>
    <t>Ice Cream</t>
  </si>
  <si>
    <t>Garlic Bread</t>
  </si>
  <si>
    <t>Pizza</t>
  </si>
  <si>
    <t>Cold Drink</t>
  </si>
  <si>
    <t>YEAR</t>
  </si>
  <si>
    <t>MONTHS</t>
  </si>
  <si>
    <t>Row Labels</t>
  </si>
  <si>
    <t>Grand Total</t>
  </si>
  <si>
    <t>Sum of Total Amount</t>
  </si>
  <si>
    <t>Sum of Profit</t>
  </si>
  <si>
    <t>bktjghirjhhthdf</t>
  </si>
  <si>
    <t>Z</t>
  </si>
  <si>
    <t xml:space="preserve"> B</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</si>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</sst>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Arial Black"/>
      <family val="2"/>
    </font>
  </fonts>
  <fills count="3">
    <fill>
      <patternFill patternType="none"/>
    </fill>
    <fill>
      <patternFill patternType="gray125"/>
    </fill>
    <fill>
      <patternFill patternType="solid">
        <fgColor theme="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1" fillId="2" borderId="0" xfId="0" applyFont="1" applyFill="1"/>
    <xf numFmtId="0" fontId="2" fillId="2" borderId="0" xfId="0" applyFont="1" applyFill="1"/>
    <xf numFmtId="0"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[FastFood_Restaurant_Data_200 (3)(AutoRecovered).xlsx]TOTAL SALE BY ITEAM!PivotTable1</c:name>
    <c:fmtId val="0"/>
  </c:pivotSource>
  <c:chart>
    <c:autoTitleDeleted val="1"/>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 BY ITEAM'!$B$3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'TOTAL SALE BY ITEAM'!$A$4:$A$14</c:f>
              <c:strCache>
                <c:ptCount val="10"/>
                <c:pt idx="0">
                  <c:v>Burger</c:v>
                </c:pt>
                <c:pt idx="1">
                  <c:v>Chicken Wings</c:v>
                </c:pt>
                <c:pt idx="2">
                  <c:v>Cold Drink</c:v>
                </c:pt>
                <c:pt idx="3">
                  <c:v>French Fries</c:v>
                </c:pt>
                <c:pt idx="4">
                  <c:v>Garlic Bread</c:v>
                </c:pt>
                <c:pt idx="5">
                  <c:v>Ice Cream</c:v>
                </c:pt>
                <c:pt idx="6">
                  <c:v>Momos</c:v>
                </c:pt>
                <c:pt idx="7">
                  <c:v>Pasta</c:v>
                </c:pt>
                <c:pt idx="8">
                  <c:v>Pizza</c:v>
                </c:pt>
                <c:pt idx="9">
                  <c:v>Sandwich</c:v>
                </c:pt>
              </c:strCache>
            </c:strRef>
          </c:cat>
          <c:val>
            <c:numRef>
              <c:f>'TOTAL SALE BY ITEAM'!$B$4:$B$14</c:f>
              <c:numCache>
                <c:formatCode>General</c:formatCode>
                <c:ptCount val="10"/>
                <c:pt idx="0">
                  <c:v>7320</c:v>
                </c:pt>
                <c:pt idx="1">
                  <c:v>14580</c:v>
                </c:pt>
                <c:pt idx="2">
                  <c:v>2220</c:v>
                </c:pt>
                <c:pt idx="3">
                  <c:v>7000</c:v>
                </c:pt>
                <c:pt idx="4">
                  <c:v>7930</c:v>
                </c:pt>
                <c:pt idx="5">
                  <c:v>4050</c:v>
                </c:pt>
                <c:pt idx="6">
                  <c:v>5840</c:v>
                </c:pt>
                <c:pt idx="7">
                  <c:v>12980</c:v>
                </c:pt>
                <c:pt idx="8">
                  <c:v>14000</c:v>
                </c:pt>
                <c:pt idx="9">
                  <c:v>7500</c:v>
                </c:pt>
              </c:numCache>
            </c:numRef>
          </c:val>
          <c:extLst>
            <c:ext xmlns:c16="http://schemas.microsoft.com/office/drawing/2014/chart" uri="{C3380CC4-5D6E-409C-BE32-E72D297353CC}">
              <c16:uniqueId val="{00000000-26AE-4400-8760-BA5641EFF6E1}"/>
            </c:ext>
          </c:extLst>
        </c:ser>
        <c:dLbls>
          <c:showLegendKey val="0"/>
          <c:showVal val="0"/>
          <c:showCatName val="0"/>
          <c:showSerName val="0"/>
          <c:showPercent val="0"/>
          <c:showBubbleSize val="0"/>
        </c:dLbls>
        <c:gapWidth val="100"/>
        <c:overlap val="-24"/>
        <c:axId val="1965748607"/>
        <c:axId val="1965758687"/>
      </c:barChart>
      <c:catAx>
        <c:axId val="19657486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5758687"/>
        <c:crosses val="autoZero"/>
        <c:auto val="1"/>
        <c:lblAlgn val="ctr"/>
        <c:lblOffset val="100"/>
        <c:noMultiLvlLbl val="0"/>
      </c:catAx>
      <c:valAx>
        <c:axId val="196575868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574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[FastFood_Restaurant_Data_200 (3)(AutoRecovered).xlsx]PROFIT BY REGION!PivotTable2</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PROFIT</a:t>
            </a:r>
            <a:r>
              <a:rPr lang="en-IN" baseline="0"/>
              <a:t> BY REGION</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shade val="86000"/>
              </a:schemeClr>
            </a:fgClr>
            <a:bgClr>
              <a:schemeClr val="accent2">
                <a:shade val="86000"/>
                <a:lumMod val="20000"/>
                <a:lumOff val="80000"/>
              </a:schemeClr>
            </a:bgClr>
          </a:pattFill>
          <a:ln w="19050">
            <a:solidFill>
              <a:schemeClr val="lt1"/>
            </a:solidFill>
          </a:ln>
          <a:effectLst>
            <a:innerShdw blurRad="114300">
              <a:schemeClr val="accent2">
                <a:shade val="86000"/>
              </a:schemeClr>
            </a:innerShdw>
          </a:effectLst>
        </c:spPr>
      </c:pivotFmt>
      <c:pivotFmt>
        <c:idx val="2"/>
        <c:spPr>
          <a:pattFill prst="ltUpDiag">
            <a:fgClr>
              <a:schemeClr val="accent2">
                <a:shade val="58000"/>
              </a:schemeClr>
            </a:fgClr>
            <a:bgClr>
              <a:schemeClr val="accent2">
                <a:shade val="58000"/>
                <a:lumMod val="20000"/>
                <a:lumOff val="80000"/>
              </a:schemeClr>
            </a:bgClr>
          </a:pattFill>
          <a:ln w="19050">
            <a:solidFill>
              <a:schemeClr val="lt1"/>
            </a:solidFill>
          </a:ln>
          <a:effectLst>
            <a:innerShdw blurRad="114300">
              <a:schemeClr val="accent2">
                <a:shade val="58000"/>
              </a:schemeClr>
            </a:innerShdw>
          </a:effectLst>
        </c:spPr>
      </c:pivotFmt>
      <c:pivotFmt>
        <c:idx val="3"/>
        <c:spPr>
          <a:pattFill prst="ltUpDiag">
            <a:fgClr>
              <a:schemeClr val="accent2">
                <a:tint val="86000"/>
              </a:schemeClr>
            </a:fgClr>
            <a:bgClr>
              <a:schemeClr val="accent2">
                <a:tint val="86000"/>
                <a:lumMod val="20000"/>
                <a:lumOff val="80000"/>
              </a:schemeClr>
            </a:bgClr>
          </a:pattFill>
          <a:ln w="19050">
            <a:solidFill>
              <a:schemeClr val="lt1"/>
            </a:solidFill>
          </a:ln>
          <a:effectLst>
            <a:innerShdw blurRad="114300">
              <a:schemeClr val="accent2">
                <a:tint val="86000"/>
              </a:schemeClr>
            </a:innerShdw>
          </a:effectLst>
        </c:spPr>
      </c:pivotFmt>
      <c:pivotFmt>
        <c:idx val="4"/>
        <c:spPr>
          <a:pattFill prst="ltUpDiag">
            <a:fgClr>
              <a:schemeClr val="accent2">
                <a:tint val="58000"/>
              </a:schemeClr>
            </a:fgClr>
            <a:bgClr>
              <a:schemeClr val="accent2">
                <a:tint val="58000"/>
                <a:lumMod val="20000"/>
                <a:lumOff val="80000"/>
              </a:schemeClr>
            </a:bgClr>
          </a:pattFill>
          <a:ln w="19050">
            <a:solidFill>
              <a:schemeClr val="lt1"/>
            </a:solidFill>
          </a:ln>
          <a:effectLst>
            <a:innerShdw blurRad="114300">
              <a:schemeClr val="accent2">
                <a:tint val="58000"/>
              </a:schemeClr>
            </a:innerShdw>
          </a:effectLst>
        </c:spPr>
      </c:pivotFmt>
    </c:pivotFmts>
    <c:plotArea>
      <c:layout/>
      <c:doughnutChart>
        <c:varyColors val="1"/>
        <c:ser>
          <c:idx val="0"/>
          <c:order val="0"/>
          <c:tx>
            <c:strRef>
              <c:f>'PROFIT BY REGION'!$B$3</c:f>
              <c:strCache>
                <c:ptCount val="1"/>
                <c:pt idx="0">
                  <c:v>Total</c:v>
                </c:pt>
              </c:strCache>
            </c:strRef>
          </c:tx>
          <c:dPt>
            <c:idx val="0"/>
            <c:bubble3D val="0"/>
            <c:spPr>
              <a:pattFill prst="ltUpDiag">
                <a:fgClr>
                  <a:schemeClr val="accent2">
                    <a:tint val="86000"/>
                  </a:schemeClr>
                </a:fgClr>
                <a:bgClr>
                  <a:schemeClr val="accent2">
                    <a:tint val="86000"/>
                    <a:lumMod val="20000"/>
                    <a:lumOff val="80000"/>
                  </a:schemeClr>
                </a:bgClr>
              </a:pattFill>
              <a:ln w="19050">
                <a:solidFill>
                  <a:schemeClr val="lt1"/>
                </a:solidFill>
              </a:ln>
              <a:effectLst>
                <a:innerShdw blurRad="114300">
                  <a:schemeClr val="accent2">
                    <a:tint val="86000"/>
                  </a:schemeClr>
                </a:innerShdw>
              </a:effectLst>
            </c:spPr>
            <c:extLst>
              <c:ext xmlns:c16="http://schemas.microsoft.com/office/drawing/2014/chart" uri="{C3380CC4-5D6E-409C-BE32-E72D297353CC}">
                <c16:uniqueId val="{00000001-4EA8-46B0-9F84-0D7CF42AEBD3}"/>
              </c:ext>
            </c:extLst>
          </c:dPt>
          <c:dPt>
            <c:idx val="1"/>
            <c:bubble3D val="0"/>
            <c:spPr>
              <a:pattFill prst="ltUpDiag">
                <a:fgClr>
                  <a:schemeClr val="accent2">
                    <a:tint val="58000"/>
                  </a:schemeClr>
                </a:fgClr>
                <a:bgClr>
                  <a:schemeClr val="accent2">
                    <a:tint val="58000"/>
                    <a:lumMod val="20000"/>
                    <a:lumOff val="80000"/>
                  </a:schemeClr>
                </a:bgClr>
              </a:pattFill>
              <a:ln w="19050">
                <a:solidFill>
                  <a:schemeClr val="lt1"/>
                </a:solidFill>
              </a:ln>
              <a:effectLst>
                <a:innerShdw blurRad="114300">
                  <a:schemeClr val="accent2">
                    <a:tint val="58000"/>
                  </a:schemeClr>
                </a:innerShdw>
              </a:effectLst>
            </c:spPr>
            <c:extLst>
              <c:ext xmlns:c16="http://schemas.microsoft.com/office/drawing/2014/chart" uri="{C3380CC4-5D6E-409C-BE32-E72D297353CC}">
                <c16:uniqueId val="{00000003-4EA8-46B0-9F84-0D7CF42AEBD3}"/>
              </c:ext>
            </c:extLst>
          </c:dPt>
          <c:dPt>
            <c:idx val="2"/>
            <c:bubble3D val="0"/>
            <c:spPr>
              <a:pattFill prst="ltUpDiag">
                <a:fgClr>
                  <a:schemeClr val="accent2">
                    <a:shade val="58000"/>
                  </a:schemeClr>
                </a:fgClr>
                <a:bgClr>
                  <a:schemeClr val="accent2">
                    <a:shade val="58000"/>
                    <a:lumMod val="20000"/>
                    <a:lumOff val="80000"/>
                  </a:schemeClr>
                </a:bgClr>
              </a:pattFill>
              <a:ln w="19050">
                <a:solidFill>
                  <a:schemeClr val="lt1"/>
                </a:solidFill>
              </a:ln>
              <a:effectLst>
                <a:innerShdw blurRad="114300">
                  <a:schemeClr val="accent2">
                    <a:shade val="58000"/>
                  </a:schemeClr>
                </a:innerShdw>
              </a:effectLst>
            </c:spPr>
            <c:extLst>
              <c:ext xmlns:c16="http://schemas.microsoft.com/office/drawing/2014/chart" uri="{C3380CC4-5D6E-409C-BE32-E72D297353CC}">
                <c16:uniqueId val="{00000005-4EA8-46B0-9F84-0D7CF42AEBD3}"/>
              </c:ext>
            </c:extLst>
          </c:dPt>
          <c:dPt>
            <c:idx val="3"/>
            <c:bubble3D val="0"/>
            <c:spPr>
              <a:pattFill prst="ltUpDiag">
                <a:fgClr>
                  <a:schemeClr val="accent2">
                    <a:shade val="86000"/>
                  </a:schemeClr>
                </a:fgClr>
                <a:bgClr>
                  <a:schemeClr val="accent2">
                    <a:shade val="86000"/>
                    <a:lumMod val="20000"/>
                    <a:lumOff val="80000"/>
                  </a:schemeClr>
                </a:bgClr>
              </a:pattFill>
              <a:ln w="19050">
                <a:solidFill>
                  <a:schemeClr val="lt1"/>
                </a:solidFill>
              </a:ln>
              <a:effectLst>
                <a:innerShdw blurRad="114300">
                  <a:schemeClr val="accent2">
                    <a:shade val="86000"/>
                  </a:schemeClr>
                </a:innerShdw>
              </a:effectLst>
            </c:spPr>
            <c:extLst>
              <c:ext xmlns:c16="http://schemas.microsoft.com/office/drawing/2014/chart" uri="{C3380CC4-5D6E-409C-BE32-E72D297353CC}">
                <c16:uniqueId val="{00000007-4EA8-46B0-9F84-0D7CF42AEB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'PROFIT BY REGION'!$A$4:$A$8</c:f>
              <c:strCache>
                <c:ptCount val="4"/>
                <c:pt idx="0">
                  <c:v>South</c:v>
                </c:pt>
                <c:pt idx="1">
                  <c:v>West</c:v>
                </c:pt>
                <c:pt idx="2">
                  <c:v>North</c:v>
                </c:pt>
                <c:pt idx="3">
                  <c:v>East</c:v>
                </c:pt>
              </c:strCache>
            </c:strRef>
          </c:cat>
          <c:val>
            <c:numRef>
              <c:f>'PROFIT BY REGION'!$B$4:$B$8</c:f>
              <c:numCache>
                <c:formatCode>General</c:formatCode>
                <c:ptCount val="4"/>
                <c:pt idx="0">
                  <c:v>3232.75</c:v>
                </c:pt>
                <c:pt idx="1">
                  <c:v>3528.25</c:v>
                </c:pt>
                <c:pt idx="2">
                  <c:v>3623.25</c:v>
                </c:pt>
                <c:pt idx="3">
                  <c:v>4174.5</c:v>
                </c:pt>
              </c:numCache>
            </c:numRef>
          </c:val>
          <c:extLst>
            <c:ext xmlns:c16="http://schemas.microsoft.com/office/drawing/2014/chart" uri="{C3380CC4-5D6E-409C-BE32-E72D297353CC}">
              <c16:uniqueId val="{00000000-114A-4A4E-ADED-B9E4DD9CAC09}"/>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[FastFood_Restaurant_Data_200 (3)(AutoRecovered).xlsx]MONTHALY SALES!PivotTable3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'MONTHALY SALES'!$B$3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multiLvlStrRef>
              <c:f>'MONTHALY SALES'!$A$4:$A$8</c:f>
              <c:multiLvlStrCache>
                <c:ptCount val="3"/>
                <c:lvl>
                  <c:pt idx="0">
                    <c:v>1</c:v>
                  </c:pt>
                  <c:pt idx="1">
                    <c:v>2</c:v>
                  </c:pt>
                  <c:pt idx="2">
                    <c:v>3</c:v>
                  </c:pt>
                </c:lvl>
                <c:lvl>
                  <c:pt idx="0">
                    <c:v>2025</c:v>
                  </c:pt>
                </c:lvl>
              </c:multiLvlStrCache>
            </c:multiLvlStrRef>
          </c:cat>
          <c:val>
            <c:numRef>
              <c:f>'MONTHALY SALES'!$B$4:$B$8</c:f>
              <c:numCache>
                <c:formatCode>General</c:formatCode>
                <c:ptCount val="3"/>
                <c:pt idx="0">
                  <c:v>7225</c:v>
                </c:pt>
                <c:pt idx="1">
                  <c:v>7066.75</c:v>
                </c:pt>
                <c:pt idx="2">
                  <c:v>267</c:v>
                </c:pt>
              </c:numCache>
            </c:numRef>
          </c:val>
          <c:smooth val="0"/>
          <c:extLst>
            <c:ext xmlns:c16="http://schemas.microsoft.com/office/drawing/2014/chart" uri="{C3380CC4-5D6E-409C-BE32-E72D297353CC}">
              <c16:uniqueId val="{00000000-09D7-48E2-B61C-895A91E5E2A0}"/>
            </c:ext>
          </c:extLst>
        </c:ser>
        <c:dLbls>
          <c:showLegendKey val="0"/>
          <c:showVal val="0"/>
          <c:showCatName val="0"/>
          <c:showSerName val="0"/>
          <c:showPercent val="0"/>
          <c:showBubbleSize val="0"/>
        </c:dLbls>
        <c:smooth val="0"/>
        <c:axId val="2127187503"/>
        <c:axId val="2127185103"/>
      </c:lineChart>
      <c:catAx>
        <c:axId val="212718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185103"/>
        <c:crosses val="autoZero"/>
        <c:auto val="1"/>
        <c:lblAlgn val="ctr"/>
        <c:lblOffset val="100"/>
        <c:noMultiLvlLbl val="0"/>
      </c:catAx>
      <c:valAx>
        <c:axId val="212718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18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[FastFood_Restaurant_Data_200 (3)(AutoRecovered).xlsx]TOP 10 CUSTOMERS!PivotTable4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cat>
            <c:strRef>
              <c:f>'TOP 10 CUSTOMERS'!$A$4:$A$15</c:f>
              <c:strCache>
                <c:ptCount val="11"/>
                <c:pt idx="0">
                  <c:v>Sneha Jain</c:v>
                </c:pt>
                <c:pt idx="1">
                  <c:v>Priya Singh</c:v>
                </c:pt>
                <c:pt idx="2">
                  <c:v>Vikram Chauhan</c:v>
                </c:pt>
                <c:pt idx="3">
                  <c:v>Arjun Nair</c:v>
                </c:pt>
                <c:pt idx="4">
                  <c:v>Neha Gupta</c:v>
                </c:pt>
                <c:pt idx="5">
                  <c:v>Deepika Bansal</c:v>
                </c:pt>
                <c:pt idx="6">
                  <c:v>Pooja Mishra</c:v>
                </c:pt>
                <c:pt idx="7">
                  <c:v>Aditi Sharma</c:v>
                </c:pt>
                <c:pt idx="8">
                  <c:v>Sunita Das</c:v>
                </c:pt>
                <c:pt idx="9">
                  <c:v>Anand Tiwari</c:v>
                </c:pt>
                <c:pt idx="10">
                  <c:v>Rohit Sen</c:v>
                </c:pt>
              </c:strCache>
            </c:strRef>
          </c:cat>
          <c:val>
            <c:numRef>
              <c:f>'TOP 10 CUSTOMERS'!$B$4:$B$15</c:f>
              <c:numCache>
                <c:formatCode>General</c:formatCode>
                <c:ptCount val="11"/>
                <c:pt idx="0">
                  <c:v>1328.25</c:v>
                </c:pt>
                <c:pt idx="1">
                  <c:v>1222.25</c:v>
                </c:pt>
                <c:pt idx="2">
                  <c:v>1188.75</c:v>
                </c:pt>
                <c:pt idx="3">
                  <c:v>1012.25</c:v>
                </c:pt>
                <c:pt idx="4">
                  <c:v>917</c:v>
                </c:pt>
                <c:pt idx="5">
                  <c:v>849</c:v>
                </c:pt>
                <c:pt idx="6">
                  <c:v>796.25</c:v>
                </c:pt>
                <c:pt idx="7">
                  <c:v>748.25</c:v>
                </c:pt>
                <c:pt idx="8">
                  <c:v>715.25</c:v>
                </c:pt>
                <c:pt idx="9">
                  <c:v>700</c:v>
                </c:pt>
                <c:pt idx="10">
                  <c:v>693</c:v>
                </c:pt>
              </c:numCache>
            </c:numRef>
          </c:val>
          <c:extLst>
            <c:ext xmlns:c16="http://schemas.microsoft.com/office/drawing/2014/chart" uri="{C3380CC4-5D6E-409C-BE32-E72D297353CC}">
              <c16:uniqueId val="{00000000-5A36-4F3F-B46A-63E5CFFB7527}"/>
            </c:ext>
          </c:extLst>
        </c:ser>
        <c:dLbls>
          <c:showLegendKey val="0"/>
          <c:showVal val="0"/>
          <c:showCatName val="0"/>
          <c:showSerName val="0"/>
          <c:showPercent val="0"/>
          <c:showBubbleSize val="0"/>
        </c:dLbls>
        <c:gapWidth val="182"/>
        <c:axId val="63690559"/>
        <c:axId val="63690079"/>
      </c:barChart>
      <c:catAx>
        <c:axId val="63690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90079"/>
        <c:crosses val="autoZero"/>
        <c:auto val="1"/>
        <c:lblAlgn val="ctr"/>
        <c:lblOffset val="100"/>
        <c:noMultiLvlLbl val="0"/>
      </c:catAx>
      <c:valAx>
        <c:axId val="63690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9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[FastFood_Restaurant_Data_200 (3)(AutoRecovered).xlsx]PROFIT BY ITEM!PivotTable5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BY ITEM'!$B$3</c:f>
              <c:strCache>
                <c:ptCount val="1"/>
                <c:pt idx="0">
                  <c:v>Total</c:v>
                </c:pt>
              </c:strCache>
            </c:strRef>
          </c:tx>
          <c:spPr>
            <a:solidFill>
              <a:schemeClr val="accent1"/>
            </a:solidFill>
            <a:ln>
              <a:noFill/>
            </a:ln>
            <a:effectLst/>
            <a:sp3d/>
          </c:spPr>
          <c:invertIfNegative val="0"/>
          <c:cat>
            <c:strRef>
              <c:f>'PROFIT BY ITEM'!$A$4:$A$14</c:f>
              <c:strCache>
                <c:ptCount val="10"/>
                <c:pt idx="0">
                  <c:v>Cold Drink</c:v>
                </c:pt>
                <c:pt idx="1">
                  <c:v>Ice Cream</c:v>
                </c:pt>
                <c:pt idx="2">
                  <c:v>Momos</c:v>
                </c:pt>
                <c:pt idx="3">
                  <c:v>French Fries</c:v>
                </c:pt>
                <c:pt idx="4">
                  <c:v>Burger</c:v>
                </c:pt>
                <c:pt idx="5">
                  <c:v>Sandwich</c:v>
                </c:pt>
                <c:pt idx="6">
                  <c:v>Garlic Bread</c:v>
                </c:pt>
                <c:pt idx="7">
                  <c:v>Pasta</c:v>
                </c:pt>
                <c:pt idx="8">
                  <c:v>Pizza</c:v>
                </c:pt>
                <c:pt idx="9">
                  <c:v>Chicken Wings</c:v>
                </c:pt>
              </c:strCache>
            </c:strRef>
          </c:cat>
          <c:val>
            <c:numRef>
              <c:f>'PROFIT BY ITEM'!$B$4:$B$14</c:f>
              <c:numCache>
                <c:formatCode>General</c:formatCode>
                <c:ptCount val="10"/>
                <c:pt idx="0">
                  <c:v>415.5</c:v>
                </c:pt>
                <c:pt idx="1">
                  <c:v>722.25</c:v>
                </c:pt>
                <c:pt idx="2">
                  <c:v>1010</c:v>
                </c:pt>
                <c:pt idx="3">
                  <c:v>1217.5</c:v>
                </c:pt>
                <c:pt idx="4">
                  <c:v>1221</c:v>
                </c:pt>
                <c:pt idx="5">
                  <c:v>1256.25</c:v>
                </c:pt>
                <c:pt idx="6">
                  <c:v>1433.25</c:v>
                </c:pt>
                <c:pt idx="7">
                  <c:v>2145</c:v>
                </c:pt>
                <c:pt idx="8">
                  <c:v>2487.5</c:v>
                </c:pt>
                <c:pt idx="9">
                  <c:v>2650.5</c:v>
                </c:pt>
              </c:numCache>
            </c:numRef>
          </c:val>
          <c:extLst>
            <c:ext xmlns:c16="http://schemas.microsoft.com/office/drawing/2014/chart" uri="{C3380CC4-5D6E-409C-BE32-E72D297353CC}">
              <c16:uniqueId val="{00000000-CACF-44C0-9A7D-B962E0249461}"/>
            </c:ext>
          </c:extLst>
        </c:ser>
        <c:dLbls>
          <c:showLegendKey val="0"/>
          <c:showVal val="0"/>
          <c:showCatName val="0"/>
          <c:showSerName val="0"/>
          <c:showPercent val="0"/>
          <c:showBubbleSize val="0"/>
        </c:dLbls>
        <c:gapWidth val="150"/>
        <c:shape val="box"/>
        <c:axId val="344986112"/>
        <c:axId val="345006272"/>
        <c:axId val="0"/>
      </c:bar3DChart>
      <c:catAx>
        <c:axId val="344986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006272"/>
        <c:crosses val="autoZero"/>
        <c:auto val="1"/>
        <c:lblAlgn val="ctr"/>
        <c:lblOffset val="100"/>
        <c:noMultiLvlLbl val="0"/>
      </c:catAx>
      <c:valAx>
        <c:axId val="34500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98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[FastFood_Restaurant_Data_200 (3)(AutoRecovered).xlsx]MONTHALY SALES!PivotTable3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'MONTHALY 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'MONTHALY SALES'!$A$4:$A$8</c:f>
              <c:multiLvlStrCache>
                <c:ptCount val="3"/>
                <c:lvl>
                  <c:pt idx="0">
                    <c:v>1</c:v>
                  </c:pt>
                  <c:pt idx="1">
                    <c:v>2</c:v>
                  </c:pt>
                  <c:pt idx="2">
                    <c:v>3</c:v>
                  </c:pt>
                </c:lvl>
                <c:lvl>
                  <c:pt idx="0">
                    <c:v>2025</c:v>
                  </c:pt>
                </c:lvl>
              </c:multiLvlStrCache>
            </c:multiLvlStrRef>
          </c:cat>
          <c:val>
            <c:numRef>
              <c:f>'MONTHALY SALES'!$B$4:$B$8</c:f>
              <c:numCache>
                <c:formatCode>General</c:formatCode>
                <c:ptCount val="3"/>
                <c:pt idx="0">
                  <c:v>7225</c:v>
                </c:pt>
                <c:pt idx="1">
                  <c:v>7066.75</c:v>
                </c:pt>
                <c:pt idx="2">
                  <c:v>267</c:v>
                </c:pt>
              </c:numCache>
            </c:numRef>
          </c:val>
          <c:smooth val="0"/>
          <c:extLst>
            <c:ext xmlns:c16="http://schemas.microsoft.com/office/drawing/2014/chart" uri="{C3380CC4-5D6E-409C-BE32-E72D297353CC}">
              <c16:uniqueId val="{00000001-AA46-42A4-922E-A88860EB0AC8}"/>
            </c:ext>
          </c:extLst>
        </c:ser>
        <c:dLbls>
          <c:dLblPos val="t"/>
          <c:showLegendKey val="0"/>
          <c:showVal val="0"/>
          <c:showCatName val="0"/>
          <c:showSerName val="0"/>
          <c:showPercent val="0"/>
          <c:showBubbleSize val="0"/>
        </c:dLbls>
        <c:marker val="1"/>
        <c:smooth val="0"/>
        <c:axId val="2127187503"/>
        <c:axId val="2127185103"/>
      </c:lineChart>
      <c:catAx>
        <c:axId val="21271875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7185103"/>
        <c:crosses val="autoZero"/>
        <c:auto val="1"/>
        <c:lblAlgn val="ctr"/>
        <c:lblOffset val="100"/>
        <c:noMultiLvlLbl val="0"/>
      </c:catAx>
      <c:valAx>
        <c:axId val="21271851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7187503"/>
        <c:crosses val="autoZero"/>
        <c:crossBetween val="between"/>
      </c:valAx>
      <c:spPr>
        <a:noFill/>
        <a:ln>
          <a:noFill/>
        </a:ln>
        <a:effectLst/>
      </c:spPr>
    </c:plotArea>
    <c:legend>
      <c:legendPos val="r"/>
      <c:overlay val="0"/>
      <c:spPr>
        <a:noFill/>
        <a:ln w="57150">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571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[FastFood_Restaurant_Data_200 (3)(AutoRecovered).xlsx]PROFIT BY ITEM!PivotTable5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a:t>
            </a:r>
            <a:r>
              <a:rPr lang="en-IN" baseline="0"/>
              <a:t> SALE BY ITEM</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509253621542693"/>
          <c:y val="0.12300359668451293"/>
          <c:w val="0.78261548043175677"/>
          <c:h val="0.66681093586820583"/>
        </c:manualLayout>
      </c:layout>
      <c:bar3DChart>
        <c:barDir val="col"/>
        <c:grouping val="clustered"/>
        <c:varyColors val="0"/>
        <c:ser>
          <c:idx val="0"/>
          <c:order val="0"/>
          <c:tx>
            <c:strRef>
              <c:f>'PROFIT BY ITEM'!$B$3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'PROFIT BY ITEM'!$A$4:$A$14</c:f>
              <c:strCache>
                <c:ptCount val="10"/>
                <c:pt idx="0">
                  <c:v>Cold Drink</c:v>
                </c:pt>
                <c:pt idx="1">
                  <c:v>Ice Cream</c:v>
                </c:pt>
                <c:pt idx="2">
                  <c:v>Momos</c:v>
                </c:pt>
                <c:pt idx="3">
                  <c:v>French Fries</c:v>
                </c:pt>
                <c:pt idx="4">
                  <c:v>Burger</c:v>
                </c:pt>
                <c:pt idx="5">
                  <c:v>Sandwich</c:v>
                </c:pt>
                <c:pt idx="6">
                  <c:v>Garlic Bread</c:v>
                </c:pt>
                <c:pt idx="7">
                  <c:v>Pasta</c:v>
                </c:pt>
                <c:pt idx="8">
                  <c:v>Pizza</c:v>
                </c:pt>
                <c:pt idx="9">
                  <c:v>Chicken Wings</c:v>
                </c:pt>
              </c:strCache>
            </c:strRef>
          </c:cat>
          <c:val>
            <c:numRef>
              <c:f>'PROFIT BY ITEM'!$B$4:$B$14</c:f>
              <c:numCache>
                <c:formatCode>General</c:formatCode>
                <c:ptCount val="10"/>
                <c:pt idx="0">
                  <c:v>415.5</c:v>
                </c:pt>
                <c:pt idx="1">
                  <c:v>722.25</c:v>
                </c:pt>
                <c:pt idx="2">
                  <c:v>1010</c:v>
                </c:pt>
                <c:pt idx="3">
                  <c:v>1217.5</c:v>
                </c:pt>
                <c:pt idx="4">
                  <c:v>1221</c:v>
                </c:pt>
                <c:pt idx="5">
                  <c:v>1256.25</c:v>
                </c:pt>
                <c:pt idx="6">
                  <c:v>1433.25</c:v>
                </c:pt>
                <c:pt idx="7">
                  <c:v>2145</c:v>
                </c:pt>
                <c:pt idx="8">
                  <c:v>2487.5</c:v>
                </c:pt>
                <c:pt idx="9">
                  <c:v>2650.5</c:v>
                </c:pt>
              </c:numCache>
            </c:numRef>
          </c:val>
          <c:extLst>
            <c:ext xmlns:c16="http://schemas.microsoft.com/office/drawing/2014/chart" uri="{C3380CC4-5D6E-409C-BE32-E72D297353CC}">
              <c16:uniqueId val="{00000000-9626-4181-B639-E6530DC9CF7E}"/>
            </c:ext>
          </c:extLst>
        </c:ser>
        <c:dLbls>
          <c:showLegendKey val="0"/>
          <c:showVal val="0"/>
          <c:showCatName val="0"/>
          <c:showSerName val="0"/>
          <c:showPercent val="0"/>
          <c:showBubbleSize val="0"/>
        </c:dLbls>
        <c:gapWidth val="65"/>
        <c:shape val="box"/>
        <c:axId val="344986112"/>
        <c:axId val="345006272"/>
        <c:axId val="0"/>
      </c:bar3DChart>
      <c:catAx>
        <c:axId val="344986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5006272"/>
        <c:crosses val="autoZero"/>
        <c:auto val="1"/>
        <c:lblAlgn val="ctr"/>
        <c:lblOffset val="100"/>
        <c:noMultiLvlLbl val="0"/>
      </c:catAx>
      <c:valAx>
        <c:axId val="3450062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449861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571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[FastFood_Restaurant_Data_200 (3)(AutoRecovered).xlsx]TOP 10 CUSTOMERS!PivotTable4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a:t>
            </a:r>
            <a:r>
              <a:rPr lang="en-IN" baseline="0"/>
              <a:t> 10 CUSTOMERS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94414914780222"/>
          <c:y val="5.6594719144528488E-2"/>
          <c:w val="0.67010454544235343"/>
          <c:h val="0.8790349152095801"/>
        </c:manualLayout>
      </c:layout>
      <c:barChart>
        <c:barDir val="bar"/>
        <c:grouping val="clustered"/>
        <c:varyColors val="0"/>
        <c:ser>
          <c:idx val="0"/>
          <c:order val="0"/>
          <c:tx>
            <c:strRef>
              <c:f>'TOP 10 CUSTOMERS'!$B$3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CUSTOMERS'!$A$4:$A$15</c:f>
              <c:strCache>
                <c:ptCount val="11"/>
                <c:pt idx="0">
                  <c:v>Sneha Jain</c:v>
                </c:pt>
                <c:pt idx="1">
                  <c:v>Priya Singh</c:v>
                </c:pt>
                <c:pt idx="2">
                  <c:v>Vikram Chauhan</c:v>
                </c:pt>
                <c:pt idx="3">
                  <c:v>Arjun Nair</c:v>
                </c:pt>
                <c:pt idx="4">
                  <c:v>Neha Gupta</c:v>
                </c:pt>
                <c:pt idx="5">
                  <c:v>Deepika Bansal</c:v>
                </c:pt>
                <c:pt idx="6">
                  <c:v>Pooja Mishra</c:v>
                </c:pt>
                <c:pt idx="7">
                  <c:v>Aditi Sharma</c:v>
                </c:pt>
                <c:pt idx="8">
                  <c:v>Sunita Das</c:v>
                </c:pt>
                <c:pt idx="9">
                  <c:v>Anand Tiwari</c:v>
                </c:pt>
                <c:pt idx="10">
                  <c:v>Rohit Sen</c:v>
                </c:pt>
              </c:strCache>
            </c:strRef>
          </c:cat>
          <c:val>
            <c:numRef>
              <c:f>'TOP 10 CUSTOMERS'!$B$4:$B$15</c:f>
              <c:numCache>
                <c:formatCode>General</c:formatCode>
                <c:ptCount val="11"/>
                <c:pt idx="0">
                  <c:v>1328.25</c:v>
                </c:pt>
                <c:pt idx="1">
                  <c:v>1222.25</c:v>
                </c:pt>
                <c:pt idx="2">
                  <c:v>1188.75</c:v>
                </c:pt>
                <c:pt idx="3">
                  <c:v>1012.25</c:v>
                </c:pt>
                <c:pt idx="4">
                  <c:v>917</c:v>
                </c:pt>
                <c:pt idx="5">
                  <c:v>849</c:v>
                </c:pt>
                <c:pt idx="6">
                  <c:v>796.25</c:v>
                </c:pt>
                <c:pt idx="7">
                  <c:v>748.25</c:v>
                </c:pt>
                <c:pt idx="8">
                  <c:v>715.25</c:v>
                </c:pt>
                <c:pt idx="9">
                  <c:v>700</c:v>
                </c:pt>
                <c:pt idx="10">
                  <c:v>693</c:v>
                </c:pt>
              </c:numCache>
            </c:numRef>
          </c:val>
          <c:extLst>
            <c:ext xmlns:c16="http://schemas.microsoft.com/office/drawing/2014/chart" uri="{C3380CC4-5D6E-409C-BE32-E72D297353CC}">
              <c16:uniqueId val="{00000000-C10C-4744-A22A-D7C3DDEBADCB}"/>
            </c:ext>
          </c:extLst>
        </c:ser>
        <c:dLbls>
          <c:dLblPos val="inEnd"/>
          <c:showLegendKey val="0"/>
          <c:showVal val="1"/>
          <c:showCatName val="0"/>
          <c:showSerName val="0"/>
          <c:showPercent val="0"/>
          <c:showBubbleSize val="0"/>
        </c:dLbls>
        <c:gapWidth val="65"/>
        <c:axId val="63690559"/>
        <c:axId val="63690079"/>
      </c:barChart>
      <c:catAx>
        <c:axId val="636905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690079"/>
        <c:crosses val="autoZero"/>
        <c:auto val="1"/>
        <c:lblAlgn val="ctr"/>
        <c:lblOffset val="100"/>
        <c:noMultiLvlLbl val="0"/>
      </c:catAx>
      <c:valAx>
        <c:axId val="6369007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3690559"/>
        <c:crosses val="autoZero"/>
        <c:crossBetween val="between"/>
      </c:valAx>
      <c:spPr>
        <a:noFill/>
        <a:ln w="57150">
          <a:solidFill>
            <a:schemeClr val="bg1"/>
          </a:solid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571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[FastFood_Restaurant_Data_200 (3)(AutoRecovered).xlsx]TOTAL SALE BY ITEAM!PivotTable1</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PROFIT</a:t>
            </a:r>
            <a:r>
              <a:rPr lang="en-IN" baseline="0"/>
              <a:t> BY ITEM</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80076293081416"/>
          <c:y val="0.23712238479378772"/>
          <c:w val="0.70782209064418133"/>
          <c:h val="0.68211723534558177"/>
        </c:manualLayout>
      </c:layout>
      <c:barChart>
        <c:barDir val="col"/>
        <c:grouping val="clustered"/>
        <c:varyColors val="0"/>
        <c:ser>
          <c:idx val="0"/>
          <c:order val="0"/>
          <c:tx>
            <c:strRef>
              <c:f>'TOTAL SALE BY ITEAM'!$B$3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'TOTAL SALE BY ITEAM'!$A$4:$A$14</c:f>
              <c:strCache>
                <c:ptCount val="10"/>
                <c:pt idx="0">
                  <c:v>Burger</c:v>
                </c:pt>
                <c:pt idx="1">
                  <c:v>Chicken Wings</c:v>
                </c:pt>
                <c:pt idx="2">
                  <c:v>Cold Drink</c:v>
                </c:pt>
                <c:pt idx="3">
                  <c:v>French Fries</c:v>
                </c:pt>
                <c:pt idx="4">
                  <c:v>Garlic Bread</c:v>
                </c:pt>
                <c:pt idx="5">
                  <c:v>Ice Cream</c:v>
                </c:pt>
                <c:pt idx="6">
                  <c:v>Momos</c:v>
                </c:pt>
                <c:pt idx="7">
                  <c:v>Pasta</c:v>
                </c:pt>
                <c:pt idx="8">
                  <c:v>Pizza</c:v>
                </c:pt>
                <c:pt idx="9">
                  <c:v>Sandwich</c:v>
                </c:pt>
              </c:strCache>
            </c:strRef>
          </c:cat>
          <c:val>
            <c:numRef>
              <c:f>'TOTAL SALE BY ITEAM'!$B$4:$B$14</c:f>
              <c:numCache>
                <c:formatCode>General</c:formatCode>
                <c:ptCount val="10"/>
                <c:pt idx="0">
                  <c:v>7320</c:v>
                </c:pt>
                <c:pt idx="1">
                  <c:v>14580</c:v>
                </c:pt>
                <c:pt idx="2">
                  <c:v>2220</c:v>
                </c:pt>
                <c:pt idx="3">
                  <c:v>7000</c:v>
                </c:pt>
                <c:pt idx="4">
                  <c:v>7930</c:v>
                </c:pt>
                <c:pt idx="5">
                  <c:v>4050</c:v>
                </c:pt>
                <c:pt idx="6">
                  <c:v>5840</c:v>
                </c:pt>
                <c:pt idx="7">
                  <c:v>12980</c:v>
                </c:pt>
                <c:pt idx="8">
                  <c:v>14000</c:v>
                </c:pt>
                <c:pt idx="9">
                  <c:v>7500</c:v>
                </c:pt>
              </c:numCache>
            </c:numRef>
          </c:val>
          <c:extLst>
            <c:ext xmlns:c16="http://schemas.microsoft.com/office/drawing/2014/chart" uri="{C3380CC4-5D6E-409C-BE32-E72D297353CC}">
              <c16:uniqueId val="{00000000-3AFE-4464-89DD-2FC86D19692E}"/>
            </c:ext>
          </c:extLst>
        </c:ser>
        <c:dLbls>
          <c:showLegendKey val="0"/>
          <c:showVal val="0"/>
          <c:showCatName val="0"/>
          <c:showSerName val="0"/>
          <c:showPercent val="0"/>
          <c:showBubbleSize val="0"/>
        </c:dLbls>
        <c:gapWidth val="100"/>
        <c:overlap val="-24"/>
        <c:axId val="1965748607"/>
        <c:axId val="1965758687"/>
      </c:barChart>
      <c:catAx>
        <c:axId val="19657486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5758687"/>
        <c:crosses val="autoZero"/>
        <c:auto val="1"/>
        <c:lblAlgn val="ctr"/>
        <c:lblOffset val="100"/>
        <c:noMultiLvlLbl val="0"/>
      </c:catAx>
      <c:valAx>
        <c:axId val="19657586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5748607"/>
        <c:crosses val="autoZero"/>
        <c:crossBetween val="between"/>
      </c:valAx>
      <c:spPr>
        <a:noFill/>
        <a:ln>
          <a:noFill/>
        </a:ln>
        <a:effectLst/>
      </c:spPr>
    </c:plotArea>
    <c:legend>
      <c:legendPos val="r"/>
      <c:layout>
        <c:manualLayout>
          <c:xMode val="edge"/>
          <c:yMode val="edge"/>
          <c:x val="0.88711714923429852"/>
          <c:y val="0.45588805589188225"/>
          <c:w val="0.11288285076570154"/>
          <c:h val="6.50830916791707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[FastFood_Restaurant_Data_200 (3)(AutoRecovered).xlsx]PROFIT BY REGION!PivotTable2</c:name>
    <c:fmtId val="2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PROFIT</a:t>
            </a:r>
            <a:r>
              <a:rPr lang="en-IN" baseline="0"/>
              <a:t> BY REGION</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shade val="86000"/>
              </a:schemeClr>
            </a:fgClr>
            <a:bgClr>
              <a:schemeClr val="accent2">
                <a:shade val="86000"/>
                <a:lumMod val="20000"/>
                <a:lumOff val="80000"/>
              </a:schemeClr>
            </a:bgClr>
          </a:pattFill>
          <a:ln w="19050">
            <a:solidFill>
              <a:schemeClr val="lt1"/>
            </a:solidFill>
          </a:ln>
          <a:effectLst>
            <a:innerShdw blurRad="114300">
              <a:schemeClr val="accent2">
                <a:shade val="86000"/>
              </a:schemeClr>
            </a:innerShdw>
          </a:effectLst>
        </c:spPr>
      </c:pivotFmt>
      <c:pivotFmt>
        <c:idx val="2"/>
        <c:spPr>
          <a:pattFill prst="ltUpDiag">
            <a:fgClr>
              <a:schemeClr val="accent2">
                <a:shade val="58000"/>
              </a:schemeClr>
            </a:fgClr>
            <a:bgClr>
              <a:schemeClr val="accent2">
                <a:shade val="58000"/>
                <a:lumMod val="20000"/>
                <a:lumOff val="80000"/>
              </a:schemeClr>
            </a:bgClr>
          </a:pattFill>
          <a:ln w="19050">
            <a:solidFill>
              <a:schemeClr val="lt1"/>
            </a:solidFill>
          </a:ln>
          <a:effectLst>
            <a:innerShdw blurRad="114300">
              <a:schemeClr val="accent2">
                <a:shade val="58000"/>
              </a:schemeClr>
            </a:innerShdw>
          </a:effectLst>
        </c:spPr>
      </c:pivotFmt>
      <c:pivotFmt>
        <c:idx val="3"/>
        <c:spPr>
          <a:pattFill prst="ltUpDiag">
            <a:fgClr>
              <a:schemeClr val="accent2">
                <a:tint val="86000"/>
              </a:schemeClr>
            </a:fgClr>
            <a:bgClr>
              <a:schemeClr val="accent2">
                <a:tint val="86000"/>
                <a:lumMod val="20000"/>
                <a:lumOff val="80000"/>
              </a:schemeClr>
            </a:bgClr>
          </a:pattFill>
          <a:ln w="19050">
            <a:solidFill>
              <a:schemeClr val="lt1"/>
            </a:solidFill>
          </a:ln>
          <a:effectLst>
            <a:innerShdw blurRad="114300">
              <a:schemeClr val="accent2">
                <a:tint val="86000"/>
              </a:schemeClr>
            </a:innerShdw>
          </a:effectLst>
        </c:spPr>
      </c:pivotFmt>
      <c:pivotFmt>
        <c:idx val="4"/>
        <c:spPr>
          <a:pattFill prst="ltUpDiag">
            <a:fgClr>
              <a:schemeClr val="accent2">
                <a:tint val="58000"/>
              </a:schemeClr>
            </a:fgClr>
            <a:bgClr>
              <a:schemeClr val="accent2">
                <a:tint val="58000"/>
                <a:lumMod val="20000"/>
                <a:lumOff val="80000"/>
              </a:schemeClr>
            </a:bgClr>
          </a:pattFill>
          <a:ln w="19050">
            <a:solidFill>
              <a:schemeClr val="lt1"/>
            </a:solidFill>
          </a:ln>
          <a:effectLst>
            <a:innerShdw blurRad="114300">
              <a:schemeClr val="accent2">
                <a:tint val="58000"/>
              </a:schemeClr>
            </a:innerShdw>
          </a:effectLst>
        </c:spPr>
      </c:pivotFmt>
      <c:pivotFmt>
        <c:idx val="5"/>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2">
                <a:tint val="58000"/>
              </a:schemeClr>
            </a:fgClr>
            <a:bgClr>
              <a:schemeClr val="accent2">
                <a:tint val="58000"/>
                <a:lumMod val="20000"/>
                <a:lumOff val="80000"/>
              </a:schemeClr>
            </a:bgClr>
          </a:pattFill>
          <a:ln w="19050">
            <a:solidFill>
              <a:schemeClr val="lt1"/>
            </a:solidFill>
          </a:ln>
          <a:effectLst>
            <a:innerShdw blurRad="114300">
              <a:schemeClr val="accent2">
                <a:tint val="58000"/>
              </a:schemeClr>
            </a:innerShdw>
          </a:effectLst>
        </c:spPr>
      </c:pivotFmt>
      <c:pivotFmt>
        <c:idx val="7"/>
        <c:spPr>
          <a:pattFill prst="ltUpDiag">
            <a:fgClr>
              <a:schemeClr val="accent2">
                <a:shade val="86000"/>
              </a:schemeClr>
            </a:fgClr>
            <a:bgClr>
              <a:schemeClr val="accent2">
                <a:shade val="86000"/>
                <a:lumMod val="20000"/>
                <a:lumOff val="80000"/>
              </a:schemeClr>
            </a:bgClr>
          </a:pattFill>
          <a:ln w="19050">
            <a:solidFill>
              <a:schemeClr val="lt1"/>
            </a:solidFill>
          </a:ln>
          <a:effectLst>
            <a:innerShdw blurRad="114300">
              <a:schemeClr val="accent2">
                <a:shade val="86000"/>
              </a:schemeClr>
            </a:innerShdw>
          </a:effectLst>
        </c:spPr>
      </c:pivotFmt>
      <c:pivotFmt>
        <c:idx val="8"/>
        <c:spPr>
          <a:pattFill prst="ltUpDiag">
            <a:fgClr>
              <a:schemeClr val="accent2">
                <a:tint val="86000"/>
              </a:schemeClr>
            </a:fgClr>
            <a:bgClr>
              <a:schemeClr val="accent2">
                <a:tint val="86000"/>
                <a:lumMod val="20000"/>
                <a:lumOff val="80000"/>
              </a:schemeClr>
            </a:bgClr>
          </a:pattFill>
          <a:ln w="19050">
            <a:solidFill>
              <a:schemeClr val="lt1"/>
            </a:solidFill>
          </a:ln>
          <a:effectLst>
            <a:innerShdw blurRad="114300">
              <a:schemeClr val="accent2">
                <a:tint val="86000"/>
              </a:schemeClr>
            </a:innerShdw>
          </a:effectLst>
        </c:spPr>
      </c:pivotFmt>
      <c:pivotFmt>
        <c:idx val="9"/>
        <c:spPr>
          <a:pattFill prst="ltUpDiag">
            <a:fgClr>
              <a:schemeClr val="accent2">
                <a:shade val="58000"/>
              </a:schemeClr>
            </a:fgClr>
            <a:bgClr>
              <a:schemeClr val="accent2">
                <a:shade val="58000"/>
                <a:lumMod val="20000"/>
                <a:lumOff val="80000"/>
              </a:schemeClr>
            </a:bgClr>
          </a:pattFill>
          <a:ln w="19050">
            <a:solidFill>
              <a:schemeClr val="lt1"/>
            </a:solidFill>
          </a:ln>
          <a:effectLst>
            <a:innerShdw blurRad="114300">
              <a:schemeClr val="accent2">
                <a:shade val="58000"/>
              </a:schemeClr>
            </a:innerShdw>
          </a:effectLst>
        </c:spPr>
      </c:pivotFmt>
      <c:pivotFmt>
        <c:idx val="1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2">
                <a:tint val="58000"/>
              </a:schemeClr>
            </a:fgClr>
            <a:bgClr>
              <a:schemeClr val="accent2">
                <a:tint val="58000"/>
                <a:lumMod val="20000"/>
                <a:lumOff val="80000"/>
              </a:schemeClr>
            </a:bgClr>
          </a:pattFill>
          <a:ln w="19050">
            <a:solidFill>
              <a:schemeClr val="lt1"/>
            </a:solidFill>
          </a:ln>
          <a:effectLst>
            <a:innerShdw blurRad="114300">
              <a:schemeClr val="accent2">
                <a:tint val="58000"/>
              </a:schemeClr>
            </a:innerShdw>
          </a:effectLst>
        </c:spPr>
      </c:pivotFmt>
      <c:pivotFmt>
        <c:idx val="12"/>
        <c:spPr>
          <a:pattFill prst="ltUpDiag">
            <a:fgClr>
              <a:schemeClr val="accent2">
                <a:shade val="86000"/>
              </a:schemeClr>
            </a:fgClr>
            <a:bgClr>
              <a:schemeClr val="accent2">
                <a:shade val="86000"/>
                <a:lumMod val="20000"/>
                <a:lumOff val="80000"/>
              </a:schemeClr>
            </a:bgClr>
          </a:pattFill>
          <a:ln w="19050">
            <a:solidFill>
              <a:schemeClr val="lt1"/>
            </a:solidFill>
          </a:ln>
          <a:effectLst>
            <a:innerShdw blurRad="114300">
              <a:schemeClr val="accent2">
                <a:shade val="86000"/>
              </a:schemeClr>
            </a:innerShdw>
          </a:effectLst>
        </c:spPr>
      </c:pivotFmt>
      <c:pivotFmt>
        <c:idx val="13"/>
        <c:spPr>
          <a:pattFill prst="ltUpDiag">
            <a:fgClr>
              <a:schemeClr val="accent2">
                <a:tint val="86000"/>
              </a:schemeClr>
            </a:fgClr>
            <a:bgClr>
              <a:schemeClr val="accent2">
                <a:tint val="86000"/>
                <a:lumMod val="20000"/>
                <a:lumOff val="80000"/>
              </a:schemeClr>
            </a:bgClr>
          </a:pattFill>
          <a:ln w="19050">
            <a:solidFill>
              <a:schemeClr val="lt1"/>
            </a:solidFill>
          </a:ln>
          <a:effectLst>
            <a:innerShdw blurRad="114300">
              <a:schemeClr val="accent2">
                <a:tint val="86000"/>
              </a:schemeClr>
            </a:innerShdw>
          </a:effectLst>
        </c:spPr>
      </c:pivotFmt>
      <c:pivotFmt>
        <c:idx val="14"/>
        <c:spPr>
          <a:pattFill prst="ltUpDiag">
            <a:fgClr>
              <a:schemeClr val="accent2">
                <a:shade val="58000"/>
              </a:schemeClr>
            </a:fgClr>
            <a:bgClr>
              <a:schemeClr val="accent2">
                <a:shade val="58000"/>
                <a:lumMod val="20000"/>
                <a:lumOff val="80000"/>
              </a:schemeClr>
            </a:bgClr>
          </a:pattFill>
          <a:ln w="19050">
            <a:solidFill>
              <a:schemeClr val="lt1"/>
            </a:solidFill>
          </a:ln>
          <a:effectLst>
            <a:innerShdw blurRad="114300">
              <a:schemeClr val="accent2">
                <a:shade val="58000"/>
              </a:schemeClr>
            </a:innerShdw>
          </a:effectLst>
        </c:spPr>
      </c:pivotFmt>
    </c:pivotFmts>
    <c:plotArea>
      <c:layout/>
      <c:doughnutChart>
        <c:varyColors val="1"/>
        <c:ser>
          <c:idx val="0"/>
          <c:order val="0"/>
          <c:tx>
            <c:strRef>
              <c:f>'PROFIT BY REGION'!$B$3</c:f>
              <c:strCache>
                <c:ptCount val="1"/>
                <c:pt idx="0">
                  <c:v>Total</c:v>
                </c:pt>
              </c:strCache>
            </c:strRef>
          </c:tx>
          <c:dPt>
            <c:idx val="0"/>
            <c:bubble3D val="0"/>
            <c:spPr>
              <a:pattFill prst="ltUpDiag">
                <a:fgClr>
                  <a:schemeClr val="accent2">
                    <a:tint val="86000"/>
                  </a:schemeClr>
                </a:fgClr>
                <a:bgClr>
                  <a:schemeClr val="accent2">
                    <a:tint val="86000"/>
                    <a:lumMod val="20000"/>
                    <a:lumOff val="80000"/>
                  </a:schemeClr>
                </a:bgClr>
              </a:pattFill>
              <a:ln w="19050">
                <a:solidFill>
                  <a:schemeClr val="lt1"/>
                </a:solidFill>
              </a:ln>
              <a:effectLst>
                <a:innerShdw blurRad="114300">
                  <a:schemeClr val="accent2">
                    <a:tint val="86000"/>
                  </a:schemeClr>
                </a:innerShdw>
              </a:effectLst>
            </c:spPr>
            <c:extLst>
              <c:ext xmlns:c16="http://schemas.microsoft.com/office/drawing/2014/chart" uri="{C3380CC4-5D6E-409C-BE32-E72D297353CC}">
                <c16:uniqueId val="{00000001-13D8-4B80-AA10-F5A8916BBBC4}"/>
              </c:ext>
            </c:extLst>
          </c:dPt>
          <c:dPt>
            <c:idx val="1"/>
            <c:bubble3D val="0"/>
            <c:spPr>
              <a:pattFill prst="ltUpDiag">
                <a:fgClr>
                  <a:schemeClr val="accent2">
                    <a:tint val="58000"/>
                  </a:schemeClr>
                </a:fgClr>
                <a:bgClr>
                  <a:schemeClr val="accent2">
                    <a:tint val="58000"/>
                    <a:lumMod val="20000"/>
                    <a:lumOff val="80000"/>
                  </a:schemeClr>
                </a:bgClr>
              </a:pattFill>
              <a:ln w="19050">
                <a:solidFill>
                  <a:schemeClr val="lt1"/>
                </a:solidFill>
              </a:ln>
              <a:effectLst>
                <a:innerShdw blurRad="114300">
                  <a:schemeClr val="accent2">
                    <a:tint val="58000"/>
                  </a:schemeClr>
                </a:innerShdw>
              </a:effectLst>
            </c:spPr>
            <c:extLst>
              <c:ext xmlns:c16="http://schemas.microsoft.com/office/drawing/2014/chart" uri="{C3380CC4-5D6E-409C-BE32-E72D297353CC}">
                <c16:uniqueId val="{00000003-13D8-4B80-AA10-F5A8916BBBC4}"/>
              </c:ext>
            </c:extLst>
          </c:dPt>
          <c:dPt>
            <c:idx val="2"/>
            <c:bubble3D val="0"/>
            <c:spPr>
              <a:pattFill prst="ltUpDiag">
                <a:fgClr>
                  <a:schemeClr val="accent2">
                    <a:shade val="58000"/>
                  </a:schemeClr>
                </a:fgClr>
                <a:bgClr>
                  <a:schemeClr val="accent2">
                    <a:shade val="58000"/>
                    <a:lumMod val="20000"/>
                    <a:lumOff val="80000"/>
                  </a:schemeClr>
                </a:bgClr>
              </a:pattFill>
              <a:ln w="19050">
                <a:solidFill>
                  <a:schemeClr val="lt1"/>
                </a:solidFill>
              </a:ln>
              <a:effectLst>
                <a:innerShdw blurRad="114300">
                  <a:schemeClr val="accent2">
                    <a:shade val="58000"/>
                  </a:schemeClr>
                </a:innerShdw>
              </a:effectLst>
            </c:spPr>
            <c:extLst>
              <c:ext xmlns:c16="http://schemas.microsoft.com/office/drawing/2014/chart" uri="{C3380CC4-5D6E-409C-BE32-E72D297353CC}">
                <c16:uniqueId val="{00000005-13D8-4B80-AA10-F5A8916BBBC4}"/>
              </c:ext>
            </c:extLst>
          </c:dPt>
          <c:dPt>
            <c:idx val="3"/>
            <c:bubble3D val="0"/>
            <c:spPr>
              <a:pattFill prst="ltUpDiag">
                <a:fgClr>
                  <a:schemeClr val="accent2">
                    <a:shade val="86000"/>
                  </a:schemeClr>
                </a:fgClr>
                <a:bgClr>
                  <a:schemeClr val="accent2">
                    <a:shade val="86000"/>
                    <a:lumMod val="20000"/>
                    <a:lumOff val="80000"/>
                  </a:schemeClr>
                </a:bgClr>
              </a:pattFill>
              <a:ln w="19050">
                <a:solidFill>
                  <a:schemeClr val="lt1"/>
                </a:solidFill>
              </a:ln>
              <a:effectLst>
                <a:innerShdw blurRad="114300">
                  <a:schemeClr val="accent2">
                    <a:shade val="86000"/>
                  </a:schemeClr>
                </a:innerShdw>
              </a:effectLst>
            </c:spPr>
            <c:extLst>
              <c:ext xmlns:c16="http://schemas.microsoft.com/office/drawing/2014/chart" uri="{C3380CC4-5D6E-409C-BE32-E72D297353CC}">
                <c16:uniqueId val="{00000007-13D8-4B80-AA10-F5A8916BBB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'PROFIT BY REGION'!$A$4:$A$8</c:f>
              <c:strCache>
                <c:ptCount val="4"/>
                <c:pt idx="0">
                  <c:v>South</c:v>
                </c:pt>
                <c:pt idx="1">
                  <c:v>West</c:v>
                </c:pt>
                <c:pt idx="2">
                  <c:v>North</c:v>
                </c:pt>
                <c:pt idx="3">
                  <c:v>East</c:v>
                </c:pt>
              </c:strCache>
            </c:strRef>
          </c:cat>
          <c:val>
            <c:numRef>
              <c:f>'PROFIT BY REGION'!$B$4:$B$8</c:f>
              <c:numCache>
                <c:formatCode>General</c:formatCode>
                <c:ptCount val="4"/>
                <c:pt idx="0">
                  <c:v>3232.75</c:v>
                </c:pt>
                <c:pt idx="1">
                  <c:v>3528.25</c:v>
                </c:pt>
                <c:pt idx="2">
                  <c:v>3623.25</c:v>
                </c:pt>
                <c:pt idx="3">
                  <c:v>4174.5</c:v>
                </c:pt>
              </c:numCache>
            </c:numRef>
          </c:val>
          <c:extLst>
            <c:ext xmlns:c16="http://schemas.microsoft.com/office/drawing/2014/chart" uri="{C3380CC4-5D6E-409C-BE32-E72D297353CC}">
              <c16:uniqueId val="{00000008-13D8-4B80-AA10-F5A8916BBBC4}"/>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image" Target="../media/image1.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441960</xdr:colOff>
      <xdr:row>5</xdr:row>
      <xdr:rowOff>95250</xdr:rowOff>
    </xdr:from>
    <xdr:to>
      <xdr:col>9</xdr:col>
      <xdr:colOff>45720</xdr:colOff>
      <xdr:row>20</xdr:row>
      <xdr:rowOff>95250</xdr:rowOff>
    </xdr:to>
    <xdr:graphicFrame macro="">
      <xdr:nvGraphicFramePr>
        <xdr:cNvPr id="2" name="Chart 1">
          <a:extLst>
            <a:ext uri="{FF2B5EF4-FFF2-40B4-BE49-F238E27FC236}">
              <a16:creationId xmlns:a16="http://schemas.microsoft.com/office/drawing/2014/main" id="{C78151C8-B24B-1DAA-781A-64C758CB78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106680</xdr:colOff>
      <xdr:row>11</xdr:row>
      <xdr:rowOff>102870</xdr:rowOff>
    </xdr:from>
    <xdr:to>
      <xdr:col>26</xdr:col>
      <xdr:colOff>15240</xdr:colOff>
      <xdr:row>11</xdr:row>
      <xdr:rowOff>167640</xdr:rowOff>
    </xdr:to>
    <xdr:sp macro="" textlink="">
      <xdr:nvSpPr>
        <xdr:cNvPr id="9" name="TextBox 8">
          <a:extLst>
            <a:ext uri="{FF2B5EF4-FFF2-40B4-BE49-F238E27FC236}">
              <a16:creationId xmlns:a16="http://schemas.microsoft.com/office/drawing/2014/main" id="{47174EA3-20A7-990D-7F7F-09CB48F7BC63}"/>
            </a:ext>
          </a:extLst>
        </xdr:cNvPr>
        <xdr:cNvSpPr txBox="1"/>
      </xdr:nvSpPr>
      <xdr:spPr>
        <a:xfrm>
          <a:off x="12047220" y="2114550"/>
          <a:ext cx="4785360" cy="647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15</xdr:col>
      <xdr:colOff>571500</xdr:colOff>
      <xdr:row>13</xdr:row>
      <xdr:rowOff>38100</xdr:rowOff>
    </xdr:from>
    <xdr:to>
      <xdr:col>17</xdr:col>
      <xdr:colOff>53340</xdr:colOff>
      <xdr:row>13</xdr:row>
      <xdr:rowOff>83819</xdr:rowOff>
    </xdr:to>
    <xdr:sp macro="" textlink="">
      <xdr:nvSpPr>
        <xdr:cNvPr id="10" name="TextBox 9">
          <a:extLst>
            <a:ext uri="{FF2B5EF4-FFF2-40B4-BE49-F238E27FC236}">
              <a16:creationId xmlns:a16="http://schemas.microsoft.com/office/drawing/2014/main" id="{97ED8E28-9231-E286-3831-42DDDF0E1E0F}"/>
            </a:ext>
          </a:extLst>
        </xdr:cNvPr>
        <xdr:cNvSpPr txBox="1"/>
      </xdr:nvSpPr>
      <xdr:spPr>
        <a:xfrm>
          <a:off x="10683240" y="2415540"/>
          <a:ext cx="70104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548640</xdr:colOff>
      <xdr:row>3</xdr:row>
      <xdr:rowOff>41910</xdr:rowOff>
    </xdr:from>
    <xdr:to>
      <xdr:col>9</xdr:col>
      <xdr:colOff>342900</xdr:colOff>
      <xdr:row>17</xdr:row>
      <xdr:rowOff>30480</xdr:rowOff>
    </xdr:to>
    <xdr:graphicFrame macro="">
      <xdr:nvGraphicFramePr>
        <xdr:cNvPr id="3" name="Chart 2">
          <a:extLst>
            <a:ext uri="{FF2B5EF4-FFF2-40B4-BE49-F238E27FC236}">
              <a16:creationId xmlns:a16="http://schemas.microsoft.com/office/drawing/2014/main" id="{492B062B-A53C-ACFF-E9E7-0FA4432F6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396240</xdr:colOff>
      <xdr:row>7</xdr:row>
      <xdr:rowOff>41910</xdr:rowOff>
    </xdr:from>
    <xdr:to>
      <xdr:col>11</xdr:col>
      <xdr:colOff>91440</xdr:colOff>
      <xdr:row>22</xdr:row>
      <xdr:rowOff>41910</xdr:rowOff>
    </xdr:to>
    <xdr:graphicFrame macro="">
      <xdr:nvGraphicFramePr>
        <xdr:cNvPr id="2" name="Chart 1">
          <a:extLst>
            <a:ext uri="{FF2B5EF4-FFF2-40B4-BE49-F238E27FC236}">
              <a16:creationId xmlns:a16="http://schemas.microsoft.com/office/drawing/2014/main" id="{754EAEA3-78E2-E97C-B13B-BCCEBC0BA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274320</xdr:colOff>
      <xdr:row>6</xdr:row>
      <xdr:rowOff>160021</xdr:rowOff>
    </xdr:from>
    <xdr:to>
      <xdr:col>14</xdr:col>
      <xdr:colOff>274320</xdr:colOff>
      <xdr:row>17</xdr:row>
      <xdr:rowOff>99061</xdr:rowOff>
    </xdr:to>
    <mc:AlternateContent xmlns:mc="http://schemas.openxmlformats.org/markup-compatibility/2006" xmlns:a14="http://schemas.microsoft.com/office/drawing/2010/main">
      <mc:Choice Requires="a14">
        <xdr:graphicFrame macro="">
          <xdr:nvGraphicFramePr>
            <xdr:cNvPr id="3" name="MONTHS">
              <a:extLst>
                <a:ext uri="{FF2B5EF4-FFF2-40B4-BE49-F238E27FC236}">
                  <a16:creationId xmlns:a16="http://schemas.microsoft.com/office/drawing/2014/main" id="{8A36247B-A17A-7F77-4FAB-3717DBD11C79}"/>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7886700" y="1257301"/>
              <a:ext cx="182880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99060</xdr:colOff>
      <xdr:row>7</xdr:row>
      <xdr:rowOff>41910</xdr:rowOff>
    </xdr:from>
    <xdr:to>
      <xdr:col>11</xdr:col>
      <xdr:colOff>403860</xdr:colOff>
      <xdr:row>22</xdr:row>
      <xdr:rowOff>41910</xdr:rowOff>
    </xdr:to>
    <xdr:graphicFrame macro="">
      <xdr:nvGraphicFramePr>
        <xdr:cNvPr id="2" name="Chart 1">
          <a:extLst>
            <a:ext uri="{FF2B5EF4-FFF2-40B4-BE49-F238E27FC236}">
              <a16:creationId xmlns:a16="http://schemas.microsoft.com/office/drawing/2014/main" id="{EC71C314-55EB-ED98-1CC3-27B9381F1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91440</xdr:colOff>
      <xdr:row>7</xdr:row>
      <xdr:rowOff>41910</xdr:rowOff>
    </xdr:from>
    <xdr:to>
      <xdr:col>11</xdr:col>
      <xdr:colOff>396240</xdr:colOff>
      <xdr:row>22</xdr:row>
      <xdr:rowOff>41910</xdr:rowOff>
    </xdr:to>
    <xdr:graphicFrame macro="">
      <xdr:nvGraphicFramePr>
        <xdr:cNvPr id="3" name="Chart 2">
          <a:extLst>
            <a:ext uri="{FF2B5EF4-FFF2-40B4-BE49-F238E27FC236}">
              <a16:creationId xmlns:a16="http://schemas.microsoft.com/office/drawing/2014/main" id="{BEC748AA-003A-6101-BEA1-C43B480B3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205740</xdr:colOff>
      <xdr:row>6</xdr:row>
      <xdr:rowOff>160020</xdr:rowOff>
    </xdr:from>
    <xdr:to>
      <xdr:col>16</xdr:col>
      <xdr:colOff>205740</xdr:colOff>
      <xdr:row>20</xdr:row>
      <xdr:rowOff>66675</xdr:rowOff>
    </xdr:to>
    <mc:AlternateContent xmlns:mc="http://schemas.openxmlformats.org/markup-compatibility/2006" xmlns:a14="http://schemas.microsoft.com/office/drawing/2010/main">
      <mc:Choice Requires="a14">
        <xdr:graphicFrame macro="">
          <xdr:nvGraphicFramePr>
            <xdr:cNvPr id="4" name="Profit">
              <a:extLst>
                <a:ext uri="{FF2B5EF4-FFF2-40B4-BE49-F238E27FC236}">
                  <a16:creationId xmlns:a16="http://schemas.microsoft.com/office/drawing/2014/main" id="{AC66B23C-CE4E-C970-32E1-2D015FD7DDDB}"/>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9044940" y="1257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142068</xdr:colOff>
      <xdr:row>2</xdr:row>
      <xdr:rowOff>42556</xdr:rowOff>
    </xdr:from>
    <xdr:to>
      <xdr:col>9</xdr:col>
      <xdr:colOff>452035</xdr:colOff>
      <xdr:row>5</xdr:row>
      <xdr:rowOff>178272</xdr:rowOff>
    </xdr:to>
    <xdr:sp macro="" textlink="">
      <xdr:nvSpPr>
        <xdr:cNvPr id="6" name="Arrow: Quad 5">
          <a:extLst>
            <a:ext uri="{FF2B5EF4-FFF2-40B4-BE49-F238E27FC236}">
              <a16:creationId xmlns:a16="http://schemas.microsoft.com/office/drawing/2014/main" id="{1C3A7FC6-7A2A-B5D2-6766-6087A08D392D}"/>
            </a:ext>
          </a:extLst>
        </xdr:cNvPr>
        <xdr:cNvSpPr/>
      </xdr:nvSpPr>
      <xdr:spPr>
        <a:xfrm>
          <a:off x="5038855" y="417310"/>
          <a:ext cx="922065" cy="697847"/>
        </a:xfrm>
        <a:prstGeom prst="quadArrow">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214805</xdr:colOff>
      <xdr:row>2</xdr:row>
      <xdr:rowOff>13763</xdr:rowOff>
    </xdr:from>
    <xdr:to>
      <xdr:col>24</xdr:col>
      <xdr:colOff>529852</xdr:colOff>
      <xdr:row>5</xdr:row>
      <xdr:rowOff>142915</xdr:rowOff>
    </xdr:to>
    <xdr:sp macro="" textlink="">
      <xdr:nvSpPr>
        <xdr:cNvPr id="11" name="Arrow: Quad 10">
          <a:extLst>
            <a:ext uri="{FF2B5EF4-FFF2-40B4-BE49-F238E27FC236}">
              <a16:creationId xmlns:a16="http://schemas.microsoft.com/office/drawing/2014/main" id="{F7F60B05-26F7-46A8-A070-7114A042644F}"/>
            </a:ext>
          </a:extLst>
        </xdr:cNvPr>
        <xdr:cNvSpPr/>
      </xdr:nvSpPr>
      <xdr:spPr>
        <a:xfrm>
          <a:off x="14293067" y="388517"/>
          <a:ext cx="927146" cy="691283"/>
        </a:xfrm>
        <a:prstGeom prst="quadArrow">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27</xdr:col>
      <xdr:colOff>539448</xdr:colOff>
      <xdr:row>29</xdr:row>
      <xdr:rowOff>95328</xdr:rowOff>
    </xdr:from>
    <xdr:to>
      <xdr:col>32</xdr:col>
      <xdr:colOff>237315</xdr:colOff>
      <xdr:row>41</xdr:row>
      <xdr:rowOff>11273</xdr:rowOff>
    </xdr:to>
    <mc:AlternateContent xmlns:mc="http://schemas.openxmlformats.org/markup-compatibility/2006">
      <mc:Choice xmlns:a14="http://schemas.microsoft.com/office/drawing/2010/main" Requires="a14">
        <xdr:graphicFrame macro="">
          <xdr:nvGraphicFramePr>
            <xdr:cNvPr id="14" name="MONTHS 1">
              <a:extLst>
                <a:ext uri="{FF2B5EF4-FFF2-40B4-BE49-F238E27FC236}">
                  <a16:creationId xmlns:a16="http://schemas.microsoft.com/office/drawing/2014/main" id="{D47D21AD-B85E-4AD2-B9E0-482D95707F3A}"/>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17056603" y="5386398"/>
              <a:ext cx="2756599" cy="2105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39</xdr:col>
      <xdr:colOff>512035</xdr:colOff>
      <xdr:row>14</xdr:row>
      <xdr:rowOff>91483</xdr:rowOff>
    </xdr:from>
    <xdr:to>
      <xdr:col>43</xdr:col>
      <xdr:colOff>470706</xdr:colOff>
      <xdr:row>17</xdr:row>
      <xdr:rowOff>39822</xdr:rowOff>
    </xdr:to>
    <xdr:sp macro="" textlink="">
      <xdr:nvSpPr>
        <xdr:cNvPr id="19" name="Rectangle 18">
          <a:extLst>
            <a:ext uri="{FF2B5EF4-FFF2-40B4-BE49-F238E27FC236}">
              <a16:creationId xmlns:a16="http://schemas.microsoft.com/office/drawing/2014/main" id="{5BA38520-4F0B-CAFE-3B8C-4BD500F73324}"/>
            </a:ext>
          </a:extLst>
        </xdr:cNvPr>
        <xdr:cNvSpPr/>
      </xdr:nvSpPr>
      <xdr:spPr>
        <a:xfrm>
          <a:off x="24038785" y="2758483"/>
          <a:ext cx="2371671" cy="519839"/>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2800"/>
        </a:p>
      </xdr:txBody>
    </xdr:sp>
    <xdr:clientData/>
  </xdr:twoCellAnchor>
  <xdr:oneCellAnchor>
    <xdr:from>
      <xdr:col>39</xdr:col>
      <xdr:colOff>548639</xdr:colOff>
      <xdr:row>18</xdr:row>
      <xdr:rowOff>121919</xdr:rowOff>
    </xdr:from>
    <xdr:ext cx="45719" cy="45719"/>
    <xdr:sp macro="" textlink="">
      <xdr:nvSpPr>
        <xdr:cNvPr id="25" name="TextBox 24">
          <a:extLst>
            <a:ext uri="{FF2B5EF4-FFF2-40B4-BE49-F238E27FC236}">
              <a16:creationId xmlns:a16="http://schemas.microsoft.com/office/drawing/2014/main" id="{3A1567A4-5A0C-38EE-B419-67CDC36C8782}"/>
            </a:ext>
          </a:extLst>
        </xdr:cNvPr>
        <xdr:cNvSpPr txBox="1"/>
      </xdr:nvSpPr>
      <xdr:spPr>
        <a:xfrm flipH="1" flipV="1">
          <a:off x="24323039" y="3413759"/>
          <a:ext cx="45719" cy="4571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3600"/>
        </a:p>
      </xdr:txBody>
    </xdr:sp>
    <xdr:clientData/>
  </xdr:oneCellAnchor>
  <xdr:oneCellAnchor>
    <xdr:from>
      <xdr:col>0</xdr:col>
      <xdr:colOff>302173</xdr:colOff>
      <xdr:row>9</xdr:row>
      <xdr:rowOff>131379</xdr:rowOff>
    </xdr:from>
    <xdr:ext cx="3764468" cy="405432"/>
    <xdr:sp macro="" textlink="">
      <xdr:nvSpPr>
        <xdr:cNvPr id="21" name="TextBox 20">
          <a:extLst>
            <a:ext uri="{FF2B5EF4-FFF2-40B4-BE49-F238E27FC236}">
              <a16:creationId xmlns:a16="http://schemas.microsoft.com/office/drawing/2014/main" id="{5C0F8C91-E154-D03B-D933-8ECF40229737}"/>
            </a:ext>
          </a:extLst>
        </xdr:cNvPr>
        <xdr:cNvSpPr txBox="1"/>
      </xdr:nvSpPr>
      <xdr:spPr>
        <a:xfrm>
          <a:off x="302173" y="1786758"/>
          <a:ext cx="376446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a:t>TOTAL SALE BY ITEM</a:t>
          </a:r>
        </a:p>
      </xdr:txBody>
    </xdr:sp>
    <xdr:clientData/>
  </xdr:oneCellAnchor>
  <xdr:oneCellAnchor>
    <xdr:from>
      <xdr:col>0</xdr:col>
      <xdr:colOff>121227</xdr:colOff>
      <xdr:row>6</xdr:row>
      <xdr:rowOff>104069</xdr:rowOff>
    </xdr:from>
    <xdr:ext cx="1170077" cy="446691"/>
    <xdr:sp macro="" textlink="">
      <xdr:nvSpPr>
        <xdr:cNvPr id="27" name="TextBox 26">
          <a:extLst>
            <a:ext uri="{FF2B5EF4-FFF2-40B4-BE49-F238E27FC236}">
              <a16:creationId xmlns:a16="http://schemas.microsoft.com/office/drawing/2014/main" id="{B1553C1F-A838-4E0D-B64B-6095CB74B1C9}"/>
            </a:ext>
          </a:extLst>
        </xdr:cNvPr>
        <xdr:cNvSpPr txBox="1"/>
      </xdr:nvSpPr>
      <xdr:spPr>
        <a:xfrm flipV="1">
          <a:off x="121227" y="1207655"/>
          <a:ext cx="1170077" cy="446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DJKDK</a:t>
          </a:r>
        </a:p>
      </xdr:txBody>
    </xdr:sp>
    <xdr:clientData/>
  </xdr:oneCellAnchor>
  <xdr:oneCellAnchor>
    <xdr:from>
      <xdr:col>0</xdr:col>
      <xdr:colOff>302173</xdr:colOff>
      <xdr:row>9</xdr:row>
      <xdr:rowOff>97106</xdr:rowOff>
    </xdr:from>
    <xdr:ext cx="1170077" cy="446691"/>
    <xdr:sp macro="" textlink="">
      <xdr:nvSpPr>
        <xdr:cNvPr id="28" name="TextBox 27">
          <a:extLst>
            <a:ext uri="{FF2B5EF4-FFF2-40B4-BE49-F238E27FC236}">
              <a16:creationId xmlns:a16="http://schemas.microsoft.com/office/drawing/2014/main" id="{EB535316-A964-4972-B098-7FB60C21EE1B}"/>
            </a:ext>
          </a:extLst>
        </xdr:cNvPr>
        <xdr:cNvSpPr txBox="1"/>
      </xdr:nvSpPr>
      <xdr:spPr>
        <a:xfrm flipV="1">
          <a:off x="302173" y="1786758"/>
          <a:ext cx="1170077" cy="446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DJKDK</a:t>
          </a:r>
        </a:p>
      </xdr:txBody>
    </xdr:sp>
    <xdr:clientData/>
  </xdr:oneCellAnchor>
  <xdr:oneCellAnchor>
    <xdr:from>
      <xdr:col>4</xdr:col>
      <xdr:colOff>0</xdr:colOff>
      <xdr:row>13</xdr:row>
      <xdr:rowOff>0</xdr:rowOff>
    </xdr:from>
    <xdr:ext cx="1170077" cy="446691"/>
    <xdr:sp macro="" textlink="">
      <xdr:nvSpPr>
        <xdr:cNvPr id="29" name="TextBox 28">
          <a:extLst>
            <a:ext uri="{FF2B5EF4-FFF2-40B4-BE49-F238E27FC236}">
              <a16:creationId xmlns:a16="http://schemas.microsoft.com/office/drawing/2014/main" id="{C91C42A1-9FD0-4DD4-881B-812D2B9AA9C3}"/>
            </a:ext>
          </a:extLst>
        </xdr:cNvPr>
        <xdr:cNvSpPr txBox="1"/>
      </xdr:nvSpPr>
      <xdr:spPr>
        <a:xfrm flipV="1">
          <a:off x="2429565" y="2440609"/>
          <a:ext cx="1170077" cy="446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DJKDK</a:t>
          </a:r>
        </a:p>
      </xdr:txBody>
    </xdr:sp>
    <xdr:clientData/>
  </xdr:oneCellAnchor>
  <xdr:oneCellAnchor>
    <xdr:from>
      <xdr:col>0</xdr:col>
      <xdr:colOff>454573</xdr:colOff>
      <xdr:row>10</xdr:row>
      <xdr:rowOff>61767</xdr:rowOff>
    </xdr:from>
    <xdr:ext cx="1170077" cy="446691"/>
    <xdr:sp macro="" textlink="">
      <xdr:nvSpPr>
        <xdr:cNvPr id="30" name="TextBox 29">
          <a:extLst>
            <a:ext uri="{FF2B5EF4-FFF2-40B4-BE49-F238E27FC236}">
              <a16:creationId xmlns:a16="http://schemas.microsoft.com/office/drawing/2014/main" id="{7818E2B5-12F8-418D-874A-0A6EDC2082BA}"/>
            </a:ext>
          </a:extLst>
        </xdr:cNvPr>
        <xdr:cNvSpPr txBox="1"/>
      </xdr:nvSpPr>
      <xdr:spPr>
        <a:xfrm flipV="1">
          <a:off x="454573" y="1939158"/>
          <a:ext cx="1170077" cy="4466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DJKDK</a:t>
          </a:r>
        </a:p>
      </xdr:txBody>
    </xdr:sp>
    <xdr:clientData/>
  </xdr:oneCellAnchor>
  <xdr:twoCellAnchor>
    <xdr:from>
      <xdr:col>0</xdr:col>
      <xdr:colOff>371702</xdr:colOff>
      <xdr:row>1</xdr:row>
      <xdr:rowOff>58616</xdr:rowOff>
    </xdr:from>
    <xdr:to>
      <xdr:col>31</xdr:col>
      <xdr:colOff>587116</xdr:colOff>
      <xdr:row>6</xdr:row>
      <xdr:rowOff>79658</xdr:rowOff>
    </xdr:to>
    <xdr:sp macro="" textlink="">
      <xdr:nvSpPr>
        <xdr:cNvPr id="2" name="Rectangle 1">
          <a:extLst>
            <a:ext uri="{FF2B5EF4-FFF2-40B4-BE49-F238E27FC236}">
              <a16:creationId xmlns:a16="http://schemas.microsoft.com/office/drawing/2014/main" id="{E1CBE884-3AF4-4C75-5F44-8021A651B754}"/>
            </a:ext>
          </a:extLst>
        </xdr:cNvPr>
        <xdr:cNvSpPr/>
      </xdr:nvSpPr>
      <xdr:spPr>
        <a:xfrm>
          <a:off x="371702" y="245993"/>
          <a:ext cx="19190463" cy="957927"/>
        </a:xfrm>
        <a:prstGeom prst="rect">
          <a:avLst/>
        </a:prstGeom>
        <a:solidFill>
          <a:schemeClr val="accent2">
            <a:lumMod val="60000"/>
            <a:lumOff val="40000"/>
          </a:schemeClr>
        </a:solidFill>
        <a:ln w="57150">
          <a:solidFill>
            <a:schemeClr val="bg1"/>
          </a:solidFill>
        </a:ln>
        <a:effectLst>
          <a:outerShdw blurRad="50800" dist="38100" dir="2700000" algn="tl" rotWithShape="0">
            <a:prstClr val="black">
              <a:alpha val="40000"/>
            </a:prstClr>
          </a:outerShdw>
        </a:effectLst>
      </xdr:spPr>
      <xdr:style>
        <a:lnRef idx="0">
          <a:scrgbClr r="0" g="0" b="0"/>
        </a:lnRef>
        <a:fillRef idx="1002">
          <a:schemeClr val="dk2"/>
        </a:fillRef>
        <a:effectRef idx="0">
          <a:scrgbClr r="0" g="0" b="0"/>
        </a:effectRef>
        <a:fontRef idx="minor">
          <a:schemeClr val="lt1"/>
        </a:fontRef>
      </xdr:style>
      <xdr:txBody>
        <a:bodyPr vertOverflow="clip" horzOverflow="clip" rtlCol="0" anchor="t"/>
        <a:lstStyle/>
        <a:p>
          <a:pPr algn="ctr"/>
          <a:r>
            <a:rPr lang="en-IN" sz="5400" b="1" cap="none" spc="0">
              <a:ln w="12700">
                <a:solidFill>
                  <a:schemeClr val="tx2">
                    <a:lumMod val="75000"/>
                  </a:schemeClr>
                </a:solidFill>
                <a:prstDash val="solid"/>
              </a:ln>
              <a:pattFill prst="dkUpDiag">
                <a:fgClr>
                  <a:schemeClr val="tx2"/>
                </a:fgClr>
                <a:bgClr>
                  <a:schemeClr val="tx2">
                    <a:lumMod val="20000"/>
                    <a:lumOff val="80000"/>
                  </a:schemeClr>
                </a:bgClr>
              </a:pattFill>
              <a:effectLst>
                <a:glow rad="139700">
                  <a:schemeClr val="accent2">
                    <a:satMod val="175000"/>
                    <a:alpha val="40000"/>
                  </a:schemeClr>
                </a:glow>
                <a:outerShdw dist="38100" dir="2640000" algn="bl" rotWithShape="0">
                  <a:schemeClr val="tx2">
                    <a:lumMod val="75000"/>
                  </a:schemeClr>
                </a:outerShdw>
              </a:effectLst>
            </a:rPr>
            <a:t>RESTURENT</a:t>
          </a:r>
          <a:r>
            <a:rPr lang="en-IN" sz="5400" b="1" cap="none" spc="0" baseline="0">
              <a:ln w="12700">
                <a:solidFill>
                  <a:schemeClr val="tx2">
                    <a:lumMod val="75000"/>
                  </a:schemeClr>
                </a:solidFill>
                <a:prstDash val="solid"/>
              </a:ln>
              <a:pattFill prst="dkUpDiag">
                <a:fgClr>
                  <a:schemeClr val="tx2"/>
                </a:fgClr>
                <a:bgClr>
                  <a:schemeClr val="tx2">
                    <a:lumMod val="20000"/>
                    <a:lumOff val="80000"/>
                  </a:schemeClr>
                </a:bgClr>
              </a:pattFill>
              <a:effectLst>
                <a:glow rad="139700">
                  <a:schemeClr val="accent2">
                    <a:satMod val="175000"/>
                    <a:alpha val="40000"/>
                  </a:schemeClr>
                </a:glow>
                <a:outerShdw dist="38100" dir="2640000" algn="bl" rotWithShape="0">
                  <a:schemeClr val="tx2">
                    <a:lumMod val="75000"/>
                  </a:schemeClr>
                </a:outerShdw>
              </a:effectLst>
            </a:rPr>
            <a:t> SALE ANALYSIS</a:t>
          </a:r>
          <a:endParaRPr lang="en-IN" sz="5400" b="1" cap="none" spc="0">
            <a:ln w="12700">
              <a:solidFill>
                <a:schemeClr val="tx2">
                  <a:lumMod val="75000"/>
                </a:schemeClr>
              </a:solidFill>
              <a:prstDash val="solid"/>
            </a:ln>
            <a:pattFill prst="dkUpDiag">
              <a:fgClr>
                <a:schemeClr val="tx2"/>
              </a:fgClr>
              <a:bgClr>
                <a:schemeClr val="tx2">
                  <a:lumMod val="20000"/>
                  <a:lumOff val="80000"/>
                </a:schemeClr>
              </a:bgClr>
            </a:pattFill>
            <a:effectLst>
              <a:glow rad="139700">
                <a:schemeClr val="accent2">
                  <a:satMod val="175000"/>
                  <a:alpha val="40000"/>
                </a:schemeClr>
              </a:glow>
              <a:outerShdw dist="38100" dir="2640000" algn="bl" rotWithShape="0">
                <a:schemeClr val="tx2">
                  <a:lumMod val="75000"/>
                </a:schemeClr>
              </a:outerShdw>
            </a:effectLst>
          </a:endParaRPr>
        </a:p>
      </xdr:txBody>
    </xdr:sp>
    <xdr:clientData/>
  </xdr:twoCellAnchor>
  <xdr:twoCellAnchor>
    <xdr:from>
      <xdr:col>0</xdr:col>
      <xdr:colOff>209363</xdr:colOff>
      <xdr:row>16</xdr:row>
      <xdr:rowOff>150025</xdr:rowOff>
    </xdr:from>
    <xdr:to>
      <xdr:col>6</xdr:col>
      <xdr:colOff>259461</xdr:colOff>
      <xdr:row>25</xdr:row>
      <xdr:rowOff>26042</xdr:rowOff>
    </xdr:to>
    <xdr:sp macro="" textlink="'PROFIT BY ITEM'!B15">
      <xdr:nvSpPr>
        <xdr:cNvPr id="8" name="Rectangle: Rounded Corners 7">
          <a:extLst>
            <a:ext uri="{FF2B5EF4-FFF2-40B4-BE49-F238E27FC236}">
              <a16:creationId xmlns:a16="http://schemas.microsoft.com/office/drawing/2014/main" id="{B4B9FBDB-2072-4989-94AB-A28AC72B6617}"/>
            </a:ext>
          </a:extLst>
        </xdr:cNvPr>
        <xdr:cNvSpPr/>
      </xdr:nvSpPr>
      <xdr:spPr>
        <a:xfrm>
          <a:off x="209363" y="3148058"/>
          <a:ext cx="3722688" cy="1562410"/>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57150">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2AFBE053-CA65-4173-8E78-29F82346C597}" type="TxLink">
            <a:rPr lang="en-US" sz="4000" b="0" i="0" u="none" strike="noStrike" baseline="0">
              <a:solidFill>
                <a:srgbClr val="000000"/>
              </a:solidFill>
              <a:latin typeface="Calibri"/>
              <a:ea typeface="Calibri"/>
              <a:cs typeface="Calibri"/>
            </a:rPr>
            <a:pPr algn="ctr"/>
            <a:t>14558.75</a:t>
          </a:fld>
          <a:endParaRPr lang="en-IN" sz="4000">
            <a:solidFill>
              <a:schemeClr val="tx1"/>
            </a:solidFill>
          </a:endParaRPr>
        </a:p>
      </xdr:txBody>
    </xdr:sp>
    <xdr:clientData/>
  </xdr:twoCellAnchor>
  <xdr:twoCellAnchor>
    <xdr:from>
      <xdr:col>0</xdr:col>
      <xdr:colOff>223931</xdr:colOff>
      <xdr:row>26</xdr:row>
      <xdr:rowOff>47498</xdr:rowOff>
    </xdr:from>
    <xdr:to>
      <xdr:col>6</xdr:col>
      <xdr:colOff>274029</xdr:colOff>
      <xdr:row>34</xdr:row>
      <xdr:rowOff>112426</xdr:rowOff>
    </xdr:to>
    <xdr:sp macro="" textlink="'PROFIT BY REGION'!B9">
      <xdr:nvSpPr>
        <xdr:cNvPr id="13" name="Rectangle: Rounded Corners 12">
          <a:extLst>
            <a:ext uri="{FF2B5EF4-FFF2-40B4-BE49-F238E27FC236}">
              <a16:creationId xmlns:a16="http://schemas.microsoft.com/office/drawing/2014/main" id="{E060080D-D662-414D-A9F3-AB8F02706969}"/>
            </a:ext>
          </a:extLst>
        </xdr:cNvPr>
        <xdr:cNvSpPr/>
      </xdr:nvSpPr>
      <xdr:spPr>
        <a:xfrm>
          <a:off x="223931" y="4919301"/>
          <a:ext cx="3722688" cy="1563945"/>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57150">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F2A68888-4935-46A3-A21F-F39B641EBE9A}" type="TxLink">
            <a:rPr lang="en-US" sz="4000" b="0" i="0" u="none" strike="noStrike">
              <a:solidFill>
                <a:srgbClr val="000000"/>
              </a:solidFill>
              <a:latin typeface="Calibri"/>
              <a:ea typeface="Calibri"/>
              <a:cs typeface="Calibri"/>
            </a:rPr>
            <a:pPr algn="ctr"/>
            <a:t>14558.75</a:t>
          </a:fld>
          <a:endParaRPr lang="en-US" sz="4000" b="1">
            <a:solidFill>
              <a:schemeClr val="tx1"/>
            </a:solidFill>
          </a:endParaRPr>
        </a:p>
      </xdr:txBody>
    </xdr:sp>
    <xdr:clientData/>
  </xdr:twoCellAnchor>
  <xdr:twoCellAnchor>
    <xdr:from>
      <xdr:col>0</xdr:col>
      <xdr:colOff>256556</xdr:colOff>
      <xdr:row>7</xdr:row>
      <xdr:rowOff>34223</xdr:rowOff>
    </xdr:from>
    <xdr:to>
      <xdr:col>6</xdr:col>
      <xdr:colOff>306652</xdr:colOff>
      <xdr:row>15</xdr:row>
      <xdr:rowOff>151890</xdr:rowOff>
    </xdr:to>
    <xdr:sp macro="" textlink="'TOTAL SALE BY ITEAM'!$B$16">
      <xdr:nvSpPr>
        <xdr:cNvPr id="31" name="Rectangle: Rounded Corners 30">
          <a:extLst>
            <a:ext uri="{FF2B5EF4-FFF2-40B4-BE49-F238E27FC236}">
              <a16:creationId xmlns:a16="http://schemas.microsoft.com/office/drawing/2014/main" id="{9BA60E8E-248C-4E21-AA5A-F6EBEDE8EE4B}"/>
            </a:ext>
          </a:extLst>
        </xdr:cNvPr>
        <xdr:cNvSpPr/>
      </xdr:nvSpPr>
      <xdr:spPr>
        <a:xfrm>
          <a:off x="256556" y="1345862"/>
          <a:ext cx="3722686" cy="1616684"/>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57150">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C0E6F52C-878A-4E08-9C44-77019CE4B078}" type="TxLink">
            <a:rPr lang="en-US" sz="4000" b="0" i="0" u="none" strike="noStrike">
              <a:solidFill>
                <a:srgbClr val="000000"/>
              </a:solidFill>
              <a:latin typeface="Calibri"/>
              <a:ea typeface="Calibri"/>
              <a:cs typeface="Calibri"/>
            </a:rPr>
            <a:pPr algn="ctr"/>
            <a:t>83420</a:t>
          </a:fld>
          <a:endParaRPr lang="en-US" sz="4000" b="0">
            <a:solidFill>
              <a:schemeClr val="tx1"/>
            </a:solidFill>
          </a:endParaRPr>
        </a:p>
      </xdr:txBody>
    </xdr:sp>
    <xdr:clientData/>
  </xdr:twoCellAnchor>
  <xdr:oneCellAnchor>
    <xdr:from>
      <xdr:col>0</xdr:col>
      <xdr:colOff>414617</xdr:colOff>
      <xdr:row>28</xdr:row>
      <xdr:rowOff>89647</xdr:rowOff>
    </xdr:from>
    <xdr:ext cx="347383" cy="530658"/>
    <xdr:sp macro="" textlink="">
      <xdr:nvSpPr>
        <xdr:cNvPr id="34" name="TextBox 33">
          <a:extLst>
            <a:ext uri="{FF2B5EF4-FFF2-40B4-BE49-F238E27FC236}">
              <a16:creationId xmlns:a16="http://schemas.microsoft.com/office/drawing/2014/main" id="{120BD41E-C896-70A5-A4AC-5A4981A4B008}"/>
            </a:ext>
          </a:extLst>
        </xdr:cNvPr>
        <xdr:cNvSpPr txBox="1"/>
      </xdr:nvSpPr>
      <xdr:spPr>
        <a:xfrm>
          <a:off x="414617" y="5109882"/>
          <a:ext cx="34738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2800"/>
        </a:p>
      </xdr:txBody>
    </xdr:sp>
    <xdr:clientData/>
  </xdr:oneCellAnchor>
  <xdr:twoCellAnchor>
    <xdr:from>
      <xdr:col>6</xdr:col>
      <xdr:colOff>292432</xdr:colOff>
      <xdr:row>29</xdr:row>
      <xdr:rowOff>116237</xdr:rowOff>
    </xdr:from>
    <xdr:to>
      <xdr:col>14</xdr:col>
      <xdr:colOff>82586</xdr:colOff>
      <xdr:row>53</xdr:row>
      <xdr:rowOff>77490</xdr:rowOff>
    </xdr:to>
    <xdr:graphicFrame macro="">
      <xdr:nvGraphicFramePr>
        <xdr:cNvPr id="3" name="Chart 2">
          <a:extLst>
            <a:ext uri="{FF2B5EF4-FFF2-40B4-BE49-F238E27FC236}">
              <a16:creationId xmlns:a16="http://schemas.microsoft.com/office/drawing/2014/main" id="{704923BB-CEB2-4164-9964-8E2DE5DE1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609573</xdr:colOff>
      <xdr:row>7</xdr:row>
      <xdr:rowOff>12916</xdr:rowOff>
    </xdr:from>
    <xdr:to>
      <xdr:col>23</xdr:col>
      <xdr:colOff>220487</xdr:colOff>
      <xdr:row>29</xdr:row>
      <xdr:rowOff>64576</xdr:rowOff>
    </xdr:to>
    <xdr:graphicFrame macro="">
      <xdr:nvGraphicFramePr>
        <xdr:cNvPr id="4" name="Chart 3">
          <a:extLst>
            <a:ext uri="{FF2B5EF4-FFF2-40B4-BE49-F238E27FC236}">
              <a16:creationId xmlns:a16="http://schemas.microsoft.com/office/drawing/2014/main" id="{1840313E-6B95-4F71-8C17-0F4FF3297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209898</xdr:colOff>
      <xdr:row>29</xdr:row>
      <xdr:rowOff>167898</xdr:rowOff>
    </xdr:from>
    <xdr:to>
      <xdr:col>24</xdr:col>
      <xdr:colOff>343437</xdr:colOff>
      <xdr:row>53</xdr:row>
      <xdr:rowOff>160986</xdr:rowOff>
    </xdr:to>
    <xdr:graphicFrame macro="">
      <xdr:nvGraphicFramePr>
        <xdr:cNvPr id="5" name="Chart 4">
          <a:extLst>
            <a:ext uri="{FF2B5EF4-FFF2-40B4-BE49-F238E27FC236}">
              <a16:creationId xmlns:a16="http://schemas.microsoft.com/office/drawing/2014/main" id="{6A267D87-FCFA-4A21-8791-20B87AD73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492457</xdr:colOff>
      <xdr:row>29</xdr:row>
      <xdr:rowOff>149023</xdr:rowOff>
    </xdr:from>
    <xdr:to>
      <xdr:col>32</xdr:col>
      <xdr:colOff>215074</xdr:colOff>
      <xdr:row>53</xdr:row>
      <xdr:rowOff>74326</xdr:rowOff>
    </xdr:to>
    <xdr:grpSp>
      <xdr:nvGrpSpPr>
        <xdr:cNvPr id="12" name="Group 11">
          <a:extLst>
            <a:ext uri="{FF2B5EF4-FFF2-40B4-BE49-F238E27FC236}">
              <a16:creationId xmlns:a16="http://schemas.microsoft.com/office/drawing/2014/main" id="{B90FB789-0D06-AD86-96D3-881B0B6BD3DD}"/>
            </a:ext>
          </a:extLst>
        </xdr:cNvPr>
        <xdr:cNvGrpSpPr/>
      </xdr:nvGrpSpPr>
      <xdr:grpSpPr>
        <a:xfrm>
          <a:off x="15174372" y="5440093"/>
          <a:ext cx="4616589" cy="4347050"/>
          <a:chOff x="14795388" y="5362426"/>
          <a:chExt cx="4710123" cy="4192721"/>
        </a:xfrm>
      </xdr:grpSpPr>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0F6B477E-C4A7-4C6B-B888-96AA90C3E871}"/>
                  </a:ext>
                </a:extLst>
              </xdr:cNvPr>
              <xdr:cNvGraphicFramePr/>
            </xdr:nvGraphicFramePr>
            <xdr:xfrm>
              <a:off x="16759529" y="7411370"/>
              <a:ext cx="2745982" cy="2115428"/>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7099509" y="7564456"/>
                <a:ext cx="2691452" cy="2193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Item 1">
                <a:extLst>
                  <a:ext uri="{FF2B5EF4-FFF2-40B4-BE49-F238E27FC236}">
                    <a16:creationId xmlns:a16="http://schemas.microsoft.com/office/drawing/2014/main" id="{D6F354D2-6E96-4D81-B803-024C80A4C638}"/>
                  </a:ext>
                </a:extLst>
              </xdr:cNvPr>
              <xdr:cNvGraphicFramePr/>
            </xdr:nvGraphicFramePr>
            <xdr:xfrm>
              <a:off x="14795388" y="5362426"/>
              <a:ext cx="1854134" cy="4192721"/>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15174372" y="5440093"/>
                <a:ext cx="1817314" cy="4347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6</xdr:col>
      <xdr:colOff>391326</xdr:colOff>
      <xdr:row>7</xdr:row>
      <xdr:rowOff>54428</xdr:rowOff>
    </xdr:from>
    <xdr:to>
      <xdr:col>14</xdr:col>
      <xdr:colOff>525595</xdr:colOff>
      <xdr:row>29</xdr:row>
      <xdr:rowOff>0</xdr:rowOff>
    </xdr:to>
    <xdr:graphicFrame macro="">
      <xdr:nvGraphicFramePr>
        <xdr:cNvPr id="36" name="Chart 35">
          <a:extLst>
            <a:ext uri="{FF2B5EF4-FFF2-40B4-BE49-F238E27FC236}">
              <a16:creationId xmlns:a16="http://schemas.microsoft.com/office/drawing/2014/main" id="{22232954-481D-40F9-B9EE-BAEB8DD63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73269</xdr:colOff>
      <xdr:row>44</xdr:row>
      <xdr:rowOff>72519</xdr:rowOff>
    </xdr:from>
    <xdr:to>
      <xdr:col>6</xdr:col>
      <xdr:colOff>224025</xdr:colOff>
      <xdr:row>52</xdr:row>
      <xdr:rowOff>128408</xdr:rowOff>
    </xdr:to>
    <xdr:sp macro="" textlink="'TOP 10 CUSTOMERS'!B17">
      <xdr:nvSpPr>
        <xdr:cNvPr id="17" name="Rectangle: Rounded Corners 16">
          <a:extLst>
            <a:ext uri="{FF2B5EF4-FFF2-40B4-BE49-F238E27FC236}">
              <a16:creationId xmlns:a16="http://schemas.microsoft.com/office/drawing/2014/main" id="{CE8300C9-4BC8-4F22-9B53-BF78EA755958}"/>
            </a:ext>
          </a:extLst>
        </xdr:cNvPr>
        <xdr:cNvSpPr/>
      </xdr:nvSpPr>
      <xdr:spPr>
        <a:xfrm>
          <a:off x="73269" y="8317109"/>
          <a:ext cx="3823346" cy="1592381"/>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57150">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A39EAA4B-D4F8-4E58-AC98-1E1E472CCF5E}" type="TxLink">
            <a:rPr lang="en-US" sz="4000" b="0" i="0" u="none" strike="noStrike">
              <a:solidFill>
                <a:srgbClr val="000000"/>
              </a:solidFill>
              <a:latin typeface="Calibri"/>
              <a:ea typeface="Calibri"/>
              <a:cs typeface="Calibri"/>
            </a:rPr>
            <a:pPr algn="ctr"/>
            <a:t>10170.25</a:t>
          </a:fld>
          <a:endParaRPr lang="en-US" sz="4000">
            <a:solidFill>
              <a:schemeClr val="tx1"/>
            </a:solidFill>
          </a:endParaRPr>
        </a:p>
      </xdr:txBody>
    </xdr:sp>
    <xdr:clientData/>
  </xdr:twoCellAnchor>
  <xdr:twoCellAnchor>
    <xdr:from>
      <xdr:col>0</xdr:col>
      <xdr:colOff>207136</xdr:colOff>
      <xdr:row>11</xdr:row>
      <xdr:rowOff>29089</xdr:rowOff>
    </xdr:from>
    <xdr:to>
      <xdr:col>6</xdr:col>
      <xdr:colOff>271651</xdr:colOff>
      <xdr:row>14</xdr:row>
      <xdr:rowOff>144241</xdr:rowOff>
    </xdr:to>
    <xdr:sp macro="" textlink="">
      <xdr:nvSpPr>
        <xdr:cNvPr id="32" name="TextBox 31">
          <a:extLst>
            <a:ext uri="{FF2B5EF4-FFF2-40B4-BE49-F238E27FC236}">
              <a16:creationId xmlns:a16="http://schemas.microsoft.com/office/drawing/2014/main" id="{28CAECE2-63FA-A70D-8E01-08249AD3095C}"/>
            </a:ext>
          </a:extLst>
        </xdr:cNvPr>
        <xdr:cNvSpPr txBox="1"/>
      </xdr:nvSpPr>
      <xdr:spPr>
        <a:xfrm>
          <a:off x="207136" y="2090237"/>
          <a:ext cx="3737105" cy="6772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800" b="0" cap="none" spc="0">
              <a:ln w="0"/>
              <a:solidFill>
                <a:schemeClr val="tx1"/>
              </a:solidFill>
              <a:effectLst>
                <a:outerShdw blurRad="50800" dist="38100" dir="18900000" algn="bl" rotWithShape="0">
                  <a:prstClr val="black">
                    <a:alpha val="40000"/>
                  </a:prstClr>
                </a:outerShdw>
              </a:effectLst>
            </a:rPr>
            <a:t>TOTAL</a:t>
          </a:r>
          <a:r>
            <a:rPr lang="en-IN" sz="2800" b="0" cap="none" spc="0" baseline="0">
              <a:ln w="0"/>
              <a:solidFill>
                <a:schemeClr val="tx1"/>
              </a:solidFill>
              <a:effectLst>
                <a:outerShdw blurRad="50800" dist="38100" dir="18900000" algn="bl" rotWithShape="0">
                  <a:prstClr val="black">
                    <a:alpha val="40000"/>
                  </a:prstClr>
                </a:outerShdw>
              </a:effectLst>
            </a:rPr>
            <a:t> SALE BY ITEM</a:t>
          </a:r>
          <a:endParaRPr lang="en-IN" sz="2800" b="0" cap="none" spc="0">
            <a:ln w="0"/>
            <a:solidFill>
              <a:schemeClr val="tx1"/>
            </a:solidFill>
            <a:effectLst>
              <a:outerShdw blurRad="50800" dist="38100" dir="18900000" algn="bl" rotWithShape="0">
                <a:prstClr val="black">
                  <a:alpha val="40000"/>
                </a:prstClr>
              </a:outerShdw>
            </a:effectLst>
          </a:endParaRPr>
        </a:p>
      </xdr:txBody>
    </xdr:sp>
    <xdr:clientData/>
  </xdr:twoCellAnchor>
  <xdr:twoCellAnchor>
    <xdr:from>
      <xdr:col>0</xdr:col>
      <xdr:colOff>378811</xdr:colOff>
      <xdr:row>20</xdr:row>
      <xdr:rowOff>60413</xdr:rowOff>
    </xdr:from>
    <xdr:to>
      <xdr:col>6</xdr:col>
      <xdr:colOff>116499</xdr:colOff>
      <xdr:row>25</xdr:row>
      <xdr:rowOff>128268</xdr:rowOff>
    </xdr:to>
    <xdr:pic>
      <xdr:nvPicPr>
        <xdr:cNvPr id="33" name="Picture 32">
          <a:extLst>
            <a:ext uri="{FF2B5EF4-FFF2-40B4-BE49-F238E27FC236}">
              <a16:creationId xmlns:a16="http://schemas.microsoft.com/office/drawing/2014/main" id="{C2BE3496-D88C-92F1-1E0A-2E1F4D26EAD8}"/>
            </a:ext>
          </a:extLst>
        </xdr:cNvPr>
        <xdr:cNvPicPr>
          <a:picLocks noChangeAspect="1"/>
        </xdr:cNvPicPr>
      </xdr:nvPicPr>
      <xdr:blipFill>
        <a:blip xmlns:r="http://schemas.openxmlformats.org/officeDocument/2006/relationships" r:embed="rId5"/>
        <a:stretch>
          <a:fillRect/>
        </a:stretch>
      </xdr:blipFill>
      <xdr:spPr>
        <a:xfrm>
          <a:off x="378811" y="3807954"/>
          <a:ext cx="3410278" cy="1004740"/>
        </a:xfrm>
        <a:prstGeom prst="rect">
          <a:avLst/>
        </a:prstGeom>
      </xdr:spPr>
    </xdr:pic>
    <xdr:clientData/>
  </xdr:twoCellAnchor>
  <xdr:twoCellAnchor>
    <xdr:from>
      <xdr:col>0</xdr:col>
      <xdr:colOff>195021</xdr:colOff>
      <xdr:row>35</xdr:row>
      <xdr:rowOff>13790</xdr:rowOff>
    </xdr:from>
    <xdr:to>
      <xdr:col>6</xdr:col>
      <xdr:colOff>240826</xdr:colOff>
      <xdr:row>43</xdr:row>
      <xdr:rowOff>111740</xdr:rowOff>
    </xdr:to>
    <xdr:sp macro="" textlink="">
      <xdr:nvSpPr>
        <xdr:cNvPr id="35" name="Rectangle: Rounded Corners 34">
          <a:extLst>
            <a:ext uri="{FF2B5EF4-FFF2-40B4-BE49-F238E27FC236}">
              <a16:creationId xmlns:a16="http://schemas.microsoft.com/office/drawing/2014/main" id="{4236A6B5-0604-4A00-84EA-48B1081722D3}"/>
            </a:ext>
          </a:extLst>
        </xdr:cNvPr>
        <xdr:cNvSpPr/>
      </xdr:nvSpPr>
      <xdr:spPr>
        <a:xfrm>
          <a:off x="195021" y="6571987"/>
          <a:ext cx="3718395" cy="1596966"/>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57150">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4000">
              <a:solidFill>
                <a:sysClr val="windowText" lastClr="000000"/>
              </a:solidFill>
            </a:rPr>
            <a:t>14558.75</a:t>
          </a:r>
        </a:p>
        <a:p>
          <a:pPr algn="ctr"/>
          <a:r>
            <a:rPr lang="en-US" sz="3200" b="1">
              <a:solidFill>
                <a:sysClr val="windowText" lastClr="000000"/>
              </a:solidFill>
            </a:rPr>
            <a:t>MONTHLY SALE</a:t>
          </a:r>
        </a:p>
      </xdr:txBody>
    </xdr:sp>
    <xdr:clientData/>
  </xdr:twoCellAnchor>
  <xdr:twoCellAnchor>
    <xdr:from>
      <xdr:col>0</xdr:col>
      <xdr:colOff>342832</xdr:colOff>
      <xdr:row>29</xdr:row>
      <xdr:rowOff>86095</xdr:rowOff>
    </xdr:from>
    <xdr:to>
      <xdr:col>6</xdr:col>
      <xdr:colOff>401013</xdr:colOff>
      <xdr:row>33</xdr:row>
      <xdr:rowOff>166774</xdr:rowOff>
    </xdr:to>
    <xdr:sp macro="" textlink="">
      <xdr:nvSpPr>
        <xdr:cNvPr id="7" name="TextBox 6">
          <a:extLst>
            <a:ext uri="{FF2B5EF4-FFF2-40B4-BE49-F238E27FC236}">
              <a16:creationId xmlns:a16="http://schemas.microsoft.com/office/drawing/2014/main" id="{5A2CE265-803A-AF67-8296-9DE51329C2E9}"/>
            </a:ext>
          </a:extLst>
        </xdr:cNvPr>
        <xdr:cNvSpPr txBox="1"/>
      </xdr:nvSpPr>
      <xdr:spPr>
        <a:xfrm>
          <a:off x="342832" y="5520029"/>
          <a:ext cx="3730771" cy="830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3200" b="1"/>
            <a:t>PROFIT</a:t>
          </a:r>
          <a:r>
            <a:rPr lang="en-IN" sz="3200" b="1" baseline="0"/>
            <a:t> BY REGION</a:t>
          </a:r>
          <a:endParaRPr lang="en-IN" sz="3200" b="1"/>
        </a:p>
      </xdr:txBody>
    </xdr:sp>
    <xdr:clientData/>
  </xdr:twoCellAnchor>
  <xdr:oneCellAnchor>
    <xdr:from>
      <xdr:col>0</xdr:col>
      <xdr:colOff>312295</xdr:colOff>
      <xdr:row>48</xdr:row>
      <xdr:rowOff>74951</xdr:rowOff>
    </xdr:from>
    <xdr:ext cx="3210393" cy="530658"/>
    <xdr:sp macro="" textlink="">
      <xdr:nvSpPr>
        <xdr:cNvPr id="9" name="TextBox 8">
          <a:extLst>
            <a:ext uri="{FF2B5EF4-FFF2-40B4-BE49-F238E27FC236}">
              <a16:creationId xmlns:a16="http://schemas.microsoft.com/office/drawing/2014/main" id="{003615B3-A51B-52ED-2CFF-C352588ED4A1}"/>
            </a:ext>
          </a:extLst>
        </xdr:cNvPr>
        <xdr:cNvSpPr txBox="1"/>
      </xdr:nvSpPr>
      <xdr:spPr>
        <a:xfrm flipH="1">
          <a:off x="312295" y="9069049"/>
          <a:ext cx="321039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a:t>TOP</a:t>
          </a:r>
          <a:r>
            <a:rPr lang="en-IN" sz="2800" b="1" baseline="0"/>
            <a:t> 10 CUSTOMERS</a:t>
          </a:r>
        </a:p>
      </xdr:txBody>
    </xdr:sp>
    <xdr:clientData/>
  </xdr:oneCellAnchor>
  <xdr:twoCellAnchor>
    <xdr:from>
      <xdr:col>23</xdr:col>
      <xdr:colOff>386365</xdr:colOff>
      <xdr:row>7</xdr:row>
      <xdr:rowOff>64394</xdr:rowOff>
    </xdr:from>
    <xdr:to>
      <xdr:col>32</xdr:col>
      <xdr:colOff>300506</xdr:colOff>
      <xdr:row>28</xdr:row>
      <xdr:rowOff>96591</xdr:rowOff>
    </xdr:to>
    <xdr:graphicFrame macro="">
      <xdr:nvGraphicFramePr>
        <xdr:cNvPr id="10" name="Chart 9">
          <a:extLst>
            <a:ext uri="{FF2B5EF4-FFF2-40B4-BE49-F238E27FC236}">
              <a16:creationId xmlns:a16="http://schemas.microsoft.com/office/drawing/2014/main" id="{C625F737-A3DE-4B73-A5FA-CBE455DBF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9.967950925929" createdVersion="8" refreshedVersion="8" minRefreshableVersion="3" recordCount="200" xr:uid="{0AF8276E-CF9B-4087-9E41-AF3538AB0D46}">
  <cacheSource type="worksheet">
    <worksheetSource ref="A1:L201" sheet="DATA"/>
  </cacheSource>
  <cacheFields count="12">
    <cacheField name="Order ID" numFmtId="0">
      <sharedItems/>
    </cacheField>
    <cacheField name="Date" numFmtId="0">
      <sharedItems/>
    </cacheField>
    <cacheField name="Customer Name" numFmtId="0">
      <sharedItems count="20">
        <s v="Rohit Sen"/>
        <s v="Sneha Jain"/>
        <s v="Vikram Chauhan"/>
        <s v="Aditi Sharma"/>
        <s v="Rahul Mehta"/>
        <s v="Manoj Verma"/>
        <s v="Karan Patel"/>
        <s v="Sunita Das"/>
        <s v="Anita Roy"/>
        <s v="Rajesh Kumar"/>
        <s v="Anand Tiwari"/>
        <s v="Riya Das"/>
        <s v="Arjun Nair"/>
        <s v="Neha Gupta"/>
        <s v="Deepika Bansal"/>
        <s v="Kavita Reddy"/>
        <s v="Meena Iyer"/>
        <s v="Pooja Mishra"/>
        <s v="Suresh Yadav"/>
        <s v="Priya Singh"/>
      </sharedItems>
    </cacheField>
    <cacheField name="Region" numFmtId="0">
      <sharedItems count="4">
        <s v="East"/>
        <s v="North"/>
        <s v="West"/>
        <s v="South"/>
      </sharedItems>
    </cacheField>
    <cacheField name="Item" numFmtId="0">
      <sharedItems count="10">
        <s v="Pasta"/>
        <s v="Burger"/>
        <s v="French Fries"/>
        <s v="Momos"/>
        <s v="Chicken Wings"/>
        <s v="Sandwich"/>
        <s v="Ice Cream"/>
        <s v="Garlic Bread"/>
        <s v="Pizza"/>
        <s v="Cold Drink"/>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60" maxValue="250"/>
    </cacheField>
    <cacheField name="Total Amount" numFmtId="0">
      <sharedItems containsSemiMixedTypes="0" containsString="0" containsNumber="1" containsInteger="1" minValue="60" maxValue="1250"/>
    </cacheField>
    <cacheField name="Discount" numFmtId="0">
      <sharedItems containsSemiMixedTypes="0" containsString="0" containsNumber="1" minValue="0" maxValue="0.1"/>
    </cacheField>
    <cacheField name="Profit" numFmtId="0">
      <sharedItems containsSemiMixedTypes="0" containsString="0" containsNumber="1" minValue="9" maxValue="250" count="79">
        <n v="132"/>
        <n v="63"/>
        <n v="17.5"/>
        <n v="52.5"/>
        <n v="80"/>
        <n v="36"/>
        <n v="12"/>
        <n v="72"/>
        <n v="54"/>
        <n v="30"/>
        <n v="78"/>
        <n v="16"/>
        <n v="104"/>
        <n v="180"/>
        <n v="78.75"/>
        <n v="31.5"/>
        <n v="15.75"/>
        <n v="50"/>
        <n v="64"/>
        <n v="42"/>
        <n v="90"/>
        <n v="77"/>
        <n v="218.75"/>
        <n v="47.25"/>
        <n v="56"/>
        <n v="175"/>
        <n v="48"/>
        <n v="38.5"/>
        <n v="67.5"/>
        <n v="19.5"/>
        <n v="43.75"/>
        <n v="24"/>
        <n v="60"/>
        <n v="130"/>
        <n v="33"/>
        <n v="105"/>
        <n v="18"/>
        <n v="81"/>
        <n v="200"/>
        <n v="26"/>
        <n v="113.75"/>
        <n v="135"/>
        <n v="250"/>
        <n v="58.5"/>
        <n v="70"/>
        <n v="40.5"/>
        <n v="9"/>
        <n v="28"/>
        <n v="20"/>
        <n v="44"/>
        <n v="75"/>
        <n v="22.5"/>
        <n v="100"/>
        <n v="40"/>
        <n v="27"/>
        <n v="150"/>
        <n v="87.5"/>
        <n v="187.5"/>
        <n v="52"/>
        <n v="21"/>
        <n v="45"/>
        <n v="154"/>
        <n v="68.25"/>
        <n v="192.5"/>
        <n v="176"/>
        <n v="91"/>
        <n v="108"/>
        <n v="112.5"/>
        <n v="22.75"/>
        <n v="84"/>
        <n v="45.5"/>
        <n v="115.5"/>
        <n v="144"/>
        <n v="165"/>
        <n v="37.5"/>
        <n v="157.5"/>
        <n v="99"/>
        <n v="13.5"/>
        <n v="120"/>
      </sharedItems>
    </cacheField>
    <cacheField name="YEAR" numFmtId="0">
      <sharedItems containsSemiMixedTypes="0" containsString="0" containsNumber="1" containsInteger="1" minValue="2025" maxValue="2025" count="1">
        <n v="2025"/>
      </sharedItems>
    </cacheField>
    <cacheField name="MONTHS" numFmtId="0">
      <sharedItems containsSemiMixedTypes="0" containsString="0" containsNumber="1" containsInteger="1" minValue="1" maxValue="3" count="3">
        <n v="2"/>
        <n v="3"/>
        <n v="1"/>
      </sharedItems>
    </cacheField>
  </cacheFields>
  <extLst>
    <ext xmlns:x14="http://schemas.microsoft.com/office/spreadsheetml/2009/9/main" uri="{725AE2AE-9491-48be-B2B4-4EB974FC3084}">
      <x14:pivotCacheDefinition pivotCacheId="3140772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1"/>
    <s v="2025-02-24"/>
    <x v="0"/>
    <x v="0"/>
    <x v="0"/>
    <n v="3"/>
    <n v="220"/>
    <n v="660"/>
    <n v="0"/>
    <x v="0"/>
    <x v="0"/>
    <x v="0"/>
  </r>
  <r>
    <s v="ORD002"/>
    <s v="2025-03-01"/>
    <x v="1"/>
    <x v="1"/>
    <x v="1"/>
    <n v="3"/>
    <n v="120"/>
    <n v="360"/>
    <n v="0.05"/>
    <x v="1"/>
    <x v="0"/>
    <x v="1"/>
  </r>
  <r>
    <s v="ORD003"/>
    <s v="2025-02-03"/>
    <x v="2"/>
    <x v="0"/>
    <x v="2"/>
    <n v="1"/>
    <n v="100"/>
    <n v="100"/>
    <n v="0.05"/>
    <x v="2"/>
    <x v="0"/>
    <x v="0"/>
  </r>
  <r>
    <s v="ORD004"/>
    <s v="2025-01-07"/>
    <x v="3"/>
    <x v="1"/>
    <x v="2"/>
    <n v="3"/>
    <n v="100"/>
    <n v="300"/>
    <n v="0.05"/>
    <x v="3"/>
    <x v="0"/>
    <x v="2"/>
  </r>
  <r>
    <s v="ORD005"/>
    <s v="2025-01-09"/>
    <x v="4"/>
    <x v="2"/>
    <x v="3"/>
    <n v="5"/>
    <n v="80"/>
    <n v="400"/>
    <n v="0"/>
    <x v="4"/>
    <x v="0"/>
    <x v="2"/>
  </r>
  <r>
    <s v="ORD006"/>
    <s v="2025-01-26"/>
    <x v="5"/>
    <x v="2"/>
    <x v="1"/>
    <n v="2"/>
    <n v="120"/>
    <n v="240"/>
    <n v="0.1"/>
    <x v="5"/>
    <x v="0"/>
    <x v="2"/>
  </r>
  <r>
    <s v="ORD007"/>
    <s v="2025-02-10"/>
    <x v="6"/>
    <x v="2"/>
    <x v="3"/>
    <n v="1"/>
    <n v="80"/>
    <n v="80"/>
    <n v="0.1"/>
    <x v="6"/>
    <x v="0"/>
    <x v="0"/>
  </r>
  <r>
    <s v="ORD008"/>
    <s v="2025-01-04"/>
    <x v="7"/>
    <x v="1"/>
    <x v="4"/>
    <n v="2"/>
    <n v="180"/>
    <n v="360"/>
    <n v="0"/>
    <x v="7"/>
    <x v="0"/>
    <x v="2"/>
  </r>
  <r>
    <s v="ORD009"/>
    <s v="2025-01-06"/>
    <x v="8"/>
    <x v="0"/>
    <x v="5"/>
    <n v="2"/>
    <n v="150"/>
    <n v="300"/>
    <n v="0.05"/>
    <x v="3"/>
    <x v="0"/>
    <x v="2"/>
  </r>
  <r>
    <s v="ORD010"/>
    <s v="2025-02-10"/>
    <x v="7"/>
    <x v="1"/>
    <x v="6"/>
    <n v="4"/>
    <n v="90"/>
    <n v="360"/>
    <n v="0.1"/>
    <x v="8"/>
    <x v="0"/>
    <x v="0"/>
  </r>
  <r>
    <s v="ORD011"/>
    <s v="2025-02-17"/>
    <x v="9"/>
    <x v="0"/>
    <x v="6"/>
    <n v="4"/>
    <n v="90"/>
    <n v="360"/>
    <n v="0.05"/>
    <x v="1"/>
    <x v="0"/>
    <x v="0"/>
  </r>
  <r>
    <s v="ORD012"/>
    <s v="2025-01-22"/>
    <x v="10"/>
    <x v="0"/>
    <x v="2"/>
    <n v="2"/>
    <n v="100"/>
    <n v="200"/>
    <n v="0.1"/>
    <x v="9"/>
    <x v="0"/>
    <x v="2"/>
  </r>
  <r>
    <s v="ORD013"/>
    <s v="2025-02-07"/>
    <x v="11"/>
    <x v="2"/>
    <x v="7"/>
    <n v="4"/>
    <n v="130"/>
    <n v="520"/>
    <n v="0.1"/>
    <x v="10"/>
    <x v="0"/>
    <x v="0"/>
  </r>
  <r>
    <s v="ORD014"/>
    <s v="2025-01-17"/>
    <x v="12"/>
    <x v="0"/>
    <x v="3"/>
    <n v="1"/>
    <n v="80"/>
    <n v="80"/>
    <n v="0"/>
    <x v="11"/>
    <x v="0"/>
    <x v="2"/>
  </r>
  <r>
    <s v="ORD015"/>
    <s v="2025-01-27"/>
    <x v="13"/>
    <x v="0"/>
    <x v="7"/>
    <n v="4"/>
    <n v="130"/>
    <n v="520"/>
    <n v="0"/>
    <x v="12"/>
    <x v="0"/>
    <x v="2"/>
  </r>
  <r>
    <s v="ORD016"/>
    <s v="2025-02-11"/>
    <x v="14"/>
    <x v="2"/>
    <x v="4"/>
    <n v="5"/>
    <n v="180"/>
    <n v="900"/>
    <n v="0"/>
    <x v="13"/>
    <x v="0"/>
    <x v="0"/>
  </r>
  <r>
    <s v="ORD017"/>
    <s v="2025-01-09"/>
    <x v="15"/>
    <x v="3"/>
    <x v="5"/>
    <n v="3"/>
    <n v="150"/>
    <n v="450"/>
    <n v="0.05"/>
    <x v="14"/>
    <x v="0"/>
    <x v="2"/>
  </r>
  <r>
    <s v="ORD018"/>
    <s v="2025-02-28"/>
    <x v="6"/>
    <x v="1"/>
    <x v="1"/>
    <n v="4"/>
    <n v="120"/>
    <n v="480"/>
    <n v="0.1"/>
    <x v="7"/>
    <x v="0"/>
    <x v="0"/>
  </r>
  <r>
    <s v="ORD019"/>
    <s v="2025-02-04"/>
    <x v="6"/>
    <x v="0"/>
    <x v="6"/>
    <n v="2"/>
    <n v="90"/>
    <n v="180"/>
    <n v="0.05"/>
    <x v="15"/>
    <x v="0"/>
    <x v="0"/>
  </r>
  <r>
    <s v="ORD020"/>
    <s v="2025-01-04"/>
    <x v="0"/>
    <x v="3"/>
    <x v="6"/>
    <n v="1"/>
    <n v="90"/>
    <n v="90"/>
    <n v="0.05"/>
    <x v="16"/>
    <x v="0"/>
    <x v="2"/>
  </r>
  <r>
    <s v="ORD021"/>
    <s v="2025-02-28"/>
    <x v="16"/>
    <x v="0"/>
    <x v="5"/>
    <n v="2"/>
    <n v="150"/>
    <n v="300"/>
    <n v="0.05"/>
    <x v="3"/>
    <x v="0"/>
    <x v="0"/>
  </r>
  <r>
    <s v="ORD022"/>
    <s v="2025-02-06"/>
    <x v="3"/>
    <x v="1"/>
    <x v="8"/>
    <n v="1"/>
    <n v="250"/>
    <n v="250"/>
    <n v="0"/>
    <x v="17"/>
    <x v="0"/>
    <x v="0"/>
  </r>
  <r>
    <s v="ORD023"/>
    <s v="2025-01-24"/>
    <x v="4"/>
    <x v="2"/>
    <x v="3"/>
    <n v="4"/>
    <n v="80"/>
    <n v="320"/>
    <n v="0"/>
    <x v="18"/>
    <x v="0"/>
    <x v="2"/>
  </r>
  <r>
    <s v="ORD024"/>
    <s v="2025-02-24"/>
    <x v="12"/>
    <x v="0"/>
    <x v="3"/>
    <n v="3"/>
    <n v="80"/>
    <n v="240"/>
    <n v="0.05"/>
    <x v="19"/>
    <x v="0"/>
    <x v="0"/>
  </r>
  <r>
    <s v="ORD025"/>
    <s v="2025-02-20"/>
    <x v="13"/>
    <x v="1"/>
    <x v="6"/>
    <n v="5"/>
    <n v="90"/>
    <n v="450"/>
    <n v="0"/>
    <x v="20"/>
    <x v="0"/>
    <x v="0"/>
  </r>
  <r>
    <s v="ORD026"/>
    <s v="2025-02-11"/>
    <x v="16"/>
    <x v="3"/>
    <x v="1"/>
    <n v="2"/>
    <n v="120"/>
    <n v="240"/>
    <n v="0.1"/>
    <x v="5"/>
    <x v="0"/>
    <x v="0"/>
  </r>
  <r>
    <s v="ORD027"/>
    <s v="2025-02-07"/>
    <x v="4"/>
    <x v="3"/>
    <x v="0"/>
    <n v="2"/>
    <n v="220"/>
    <n v="440"/>
    <n v="0.05"/>
    <x v="21"/>
    <x v="0"/>
    <x v="0"/>
  </r>
  <r>
    <s v="ORD028"/>
    <s v="2025-01-10"/>
    <x v="8"/>
    <x v="2"/>
    <x v="5"/>
    <n v="1"/>
    <n v="150"/>
    <n v="150"/>
    <n v="0"/>
    <x v="9"/>
    <x v="0"/>
    <x v="2"/>
  </r>
  <r>
    <s v="ORD029"/>
    <s v="2025-01-17"/>
    <x v="0"/>
    <x v="0"/>
    <x v="8"/>
    <n v="5"/>
    <n v="250"/>
    <n v="1250"/>
    <n v="0.05"/>
    <x v="22"/>
    <x v="0"/>
    <x v="2"/>
  </r>
  <r>
    <s v="ORD030"/>
    <s v="2025-01-24"/>
    <x v="11"/>
    <x v="3"/>
    <x v="6"/>
    <n v="3"/>
    <n v="90"/>
    <n v="270"/>
    <n v="0.05"/>
    <x v="23"/>
    <x v="0"/>
    <x v="2"/>
  </r>
  <r>
    <s v="ORD031"/>
    <s v="2025-01-10"/>
    <x v="2"/>
    <x v="0"/>
    <x v="1"/>
    <n v="3"/>
    <n v="120"/>
    <n v="360"/>
    <n v="0.05"/>
    <x v="1"/>
    <x v="0"/>
    <x v="2"/>
  </r>
  <r>
    <s v="ORD032"/>
    <s v="2025-01-12"/>
    <x v="2"/>
    <x v="0"/>
    <x v="6"/>
    <n v="3"/>
    <n v="90"/>
    <n v="270"/>
    <n v="0"/>
    <x v="8"/>
    <x v="0"/>
    <x v="2"/>
  </r>
  <r>
    <s v="ORD033"/>
    <s v="2025-01-03"/>
    <x v="7"/>
    <x v="1"/>
    <x v="3"/>
    <n v="4"/>
    <n v="80"/>
    <n v="320"/>
    <n v="0.05"/>
    <x v="24"/>
    <x v="0"/>
    <x v="2"/>
  </r>
  <r>
    <s v="ORD034"/>
    <s v="2025-01-05"/>
    <x v="2"/>
    <x v="3"/>
    <x v="8"/>
    <n v="4"/>
    <n v="250"/>
    <n v="1000"/>
    <n v="0.05"/>
    <x v="25"/>
    <x v="0"/>
    <x v="2"/>
  </r>
  <r>
    <s v="ORD035"/>
    <s v="2025-02-06"/>
    <x v="8"/>
    <x v="3"/>
    <x v="3"/>
    <n v="4"/>
    <n v="80"/>
    <n v="320"/>
    <n v="0.1"/>
    <x v="26"/>
    <x v="0"/>
    <x v="0"/>
  </r>
  <r>
    <s v="ORD036"/>
    <s v="2025-01-16"/>
    <x v="15"/>
    <x v="2"/>
    <x v="0"/>
    <n v="1"/>
    <n v="220"/>
    <n v="220"/>
    <n v="0.05"/>
    <x v="27"/>
    <x v="0"/>
    <x v="2"/>
  </r>
  <r>
    <s v="ORD037"/>
    <s v="2025-01-30"/>
    <x v="2"/>
    <x v="2"/>
    <x v="5"/>
    <n v="3"/>
    <n v="150"/>
    <n v="450"/>
    <n v="0.1"/>
    <x v="28"/>
    <x v="0"/>
    <x v="2"/>
  </r>
  <r>
    <s v="ORD038"/>
    <s v="2025-02-13"/>
    <x v="17"/>
    <x v="1"/>
    <x v="7"/>
    <n v="1"/>
    <n v="130"/>
    <n v="130"/>
    <n v="0.1"/>
    <x v="29"/>
    <x v="0"/>
    <x v="0"/>
  </r>
  <r>
    <s v="ORD039"/>
    <s v="2025-01-09"/>
    <x v="18"/>
    <x v="2"/>
    <x v="1"/>
    <n v="3"/>
    <n v="120"/>
    <n v="360"/>
    <n v="0"/>
    <x v="7"/>
    <x v="0"/>
    <x v="2"/>
  </r>
  <r>
    <s v="ORD040"/>
    <s v="2025-01-02"/>
    <x v="6"/>
    <x v="2"/>
    <x v="3"/>
    <n v="1"/>
    <n v="80"/>
    <n v="80"/>
    <n v="0.1"/>
    <x v="6"/>
    <x v="0"/>
    <x v="2"/>
  </r>
  <r>
    <s v="ORD041"/>
    <s v="2025-01-21"/>
    <x v="7"/>
    <x v="0"/>
    <x v="4"/>
    <n v="2"/>
    <n v="180"/>
    <n v="360"/>
    <n v="0.05"/>
    <x v="1"/>
    <x v="0"/>
    <x v="2"/>
  </r>
  <r>
    <s v="ORD042"/>
    <s v="2025-01-24"/>
    <x v="2"/>
    <x v="3"/>
    <x v="8"/>
    <n v="1"/>
    <n v="250"/>
    <n v="250"/>
    <n v="0.05"/>
    <x v="30"/>
    <x v="0"/>
    <x v="2"/>
  </r>
  <r>
    <s v="ORD043"/>
    <s v="2025-01-04"/>
    <x v="11"/>
    <x v="3"/>
    <x v="9"/>
    <n v="2"/>
    <n v="60"/>
    <n v="120"/>
    <n v="0"/>
    <x v="31"/>
    <x v="0"/>
    <x v="2"/>
  </r>
  <r>
    <s v="ORD044"/>
    <s v="2025-02-12"/>
    <x v="0"/>
    <x v="3"/>
    <x v="4"/>
    <n v="5"/>
    <n v="180"/>
    <n v="900"/>
    <n v="0"/>
    <x v="13"/>
    <x v="0"/>
    <x v="0"/>
  </r>
  <r>
    <s v="ORD045"/>
    <s v="2025-01-24"/>
    <x v="14"/>
    <x v="1"/>
    <x v="3"/>
    <n v="5"/>
    <n v="80"/>
    <n v="400"/>
    <n v="0.1"/>
    <x v="32"/>
    <x v="0"/>
    <x v="2"/>
  </r>
  <r>
    <s v="ORD046"/>
    <s v="2025-02-02"/>
    <x v="12"/>
    <x v="1"/>
    <x v="7"/>
    <n v="5"/>
    <n v="130"/>
    <n v="650"/>
    <n v="0"/>
    <x v="33"/>
    <x v="0"/>
    <x v="0"/>
  </r>
  <r>
    <s v="ORD047"/>
    <s v="2025-01-05"/>
    <x v="10"/>
    <x v="2"/>
    <x v="0"/>
    <n v="1"/>
    <n v="220"/>
    <n v="220"/>
    <n v="0.1"/>
    <x v="34"/>
    <x v="0"/>
    <x v="2"/>
  </r>
  <r>
    <s v="ORD048"/>
    <s v="2025-01-20"/>
    <x v="3"/>
    <x v="1"/>
    <x v="1"/>
    <n v="5"/>
    <n v="120"/>
    <n v="600"/>
    <n v="0.05"/>
    <x v="35"/>
    <x v="0"/>
    <x v="2"/>
  </r>
  <r>
    <s v="ORD049"/>
    <s v="2025-01-21"/>
    <x v="13"/>
    <x v="0"/>
    <x v="2"/>
    <n v="1"/>
    <n v="100"/>
    <n v="100"/>
    <n v="0.05"/>
    <x v="2"/>
    <x v="0"/>
    <x v="2"/>
  </r>
  <r>
    <s v="ORD050"/>
    <s v="2025-02-18"/>
    <x v="3"/>
    <x v="1"/>
    <x v="1"/>
    <n v="1"/>
    <n v="120"/>
    <n v="120"/>
    <n v="0.1"/>
    <x v="36"/>
    <x v="0"/>
    <x v="0"/>
  </r>
  <r>
    <s v="ORD051"/>
    <s v="2025-01-22"/>
    <x v="2"/>
    <x v="1"/>
    <x v="4"/>
    <n v="3"/>
    <n v="180"/>
    <n v="540"/>
    <n v="0.1"/>
    <x v="37"/>
    <x v="0"/>
    <x v="2"/>
  </r>
  <r>
    <s v="ORD052"/>
    <s v="2025-02-01"/>
    <x v="2"/>
    <x v="0"/>
    <x v="8"/>
    <n v="4"/>
    <n v="250"/>
    <n v="1000"/>
    <n v="0"/>
    <x v="38"/>
    <x v="0"/>
    <x v="0"/>
  </r>
  <r>
    <s v="ORD053"/>
    <s v="2025-01-29"/>
    <x v="14"/>
    <x v="0"/>
    <x v="7"/>
    <n v="1"/>
    <n v="130"/>
    <n v="130"/>
    <n v="0"/>
    <x v="39"/>
    <x v="0"/>
    <x v="2"/>
  </r>
  <r>
    <s v="ORD054"/>
    <s v="2025-01-05"/>
    <x v="19"/>
    <x v="2"/>
    <x v="5"/>
    <n v="1"/>
    <n v="150"/>
    <n v="150"/>
    <n v="0"/>
    <x v="9"/>
    <x v="0"/>
    <x v="2"/>
  </r>
  <r>
    <s v="ORD055"/>
    <s v="2025-02-02"/>
    <x v="3"/>
    <x v="2"/>
    <x v="7"/>
    <n v="5"/>
    <n v="130"/>
    <n v="650"/>
    <n v="0.05"/>
    <x v="40"/>
    <x v="0"/>
    <x v="0"/>
  </r>
  <r>
    <s v="ORD056"/>
    <s v="2025-02-06"/>
    <x v="3"/>
    <x v="0"/>
    <x v="0"/>
    <n v="1"/>
    <n v="220"/>
    <n v="220"/>
    <n v="0.1"/>
    <x v="34"/>
    <x v="0"/>
    <x v="0"/>
  </r>
  <r>
    <s v="ORD057"/>
    <s v="2025-01-28"/>
    <x v="1"/>
    <x v="3"/>
    <x v="0"/>
    <n v="4"/>
    <n v="220"/>
    <n v="880"/>
    <n v="0.1"/>
    <x v="0"/>
    <x v="0"/>
    <x v="2"/>
  </r>
  <r>
    <s v="ORD058"/>
    <s v="2025-01-07"/>
    <x v="15"/>
    <x v="2"/>
    <x v="1"/>
    <n v="3"/>
    <n v="120"/>
    <n v="360"/>
    <n v="0.1"/>
    <x v="8"/>
    <x v="0"/>
    <x v="2"/>
  </r>
  <r>
    <s v="ORD059"/>
    <s v="2025-02-17"/>
    <x v="17"/>
    <x v="3"/>
    <x v="4"/>
    <n v="5"/>
    <n v="180"/>
    <n v="900"/>
    <n v="0.1"/>
    <x v="41"/>
    <x v="0"/>
    <x v="0"/>
  </r>
  <r>
    <s v="ORD060"/>
    <s v="2025-01-09"/>
    <x v="19"/>
    <x v="2"/>
    <x v="8"/>
    <n v="5"/>
    <n v="250"/>
    <n v="1250"/>
    <n v="0"/>
    <x v="42"/>
    <x v="0"/>
    <x v="2"/>
  </r>
  <r>
    <s v="ORD061"/>
    <s v="2025-02-15"/>
    <x v="19"/>
    <x v="3"/>
    <x v="7"/>
    <n v="3"/>
    <n v="130"/>
    <n v="390"/>
    <n v="0.1"/>
    <x v="43"/>
    <x v="0"/>
    <x v="0"/>
  </r>
  <r>
    <s v="ORD062"/>
    <s v="2025-02-20"/>
    <x v="10"/>
    <x v="1"/>
    <x v="6"/>
    <n v="2"/>
    <n v="90"/>
    <n v="180"/>
    <n v="0"/>
    <x v="5"/>
    <x v="0"/>
    <x v="0"/>
  </r>
  <r>
    <s v="ORD063"/>
    <s v="2025-01-02"/>
    <x v="15"/>
    <x v="2"/>
    <x v="6"/>
    <n v="2"/>
    <n v="90"/>
    <n v="180"/>
    <n v="0.05"/>
    <x v="15"/>
    <x v="0"/>
    <x v="2"/>
  </r>
  <r>
    <s v="ORD064"/>
    <s v="2025-01-05"/>
    <x v="9"/>
    <x v="0"/>
    <x v="0"/>
    <n v="1"/>
    <n v="220"/>
    <n v="220"/>
    <n v="0.05"/>
    <x v="27"/>
    <x v="0"/>
    <x v="2"/>
  </r>
  <r>
    <s v="ORD065"/>
    <s v="2025-02-21"/>
    <x v="18"/>
    <x v="2"/>
    <x v="0"/>
    <n v="1"/>
    <n v="220"/>
    <n v="220"/>
    <n v="0.1"/>
    <x v="34"/>
    <x v="0"/>
    <x v="0"/>
  </r>
  <r>
    <s v="ORD066"/>
    <s v="2025-02-07"/>
    <x v="7"/>
    <x v="0"/>
    <x v="3"/>
    <n v="5"/>
    <n v="80"/>
    <n v="400"/>
    <n v="0"/>
    <x v="4"/>
    <x v="0"/>
    <x v="0"/>
  </r>
  <r>
    <s v="ORD067"/>
    <s v="2025-01-02"/>
    <x v="3"/>
    <x v="2"/>
    <x v="3"/>
    <n v="5"/>
    <n v="80"/>
    <n v="400"/>
    <n v="0.05"/>
    <x v="44"/>
    <x v="0"/>
    <x v="2"/>
  </r>
  <r>
    <s v="ORD068"/>
    <s v="2025-01-28"/>
    <x v="16"/>
    <x v="2"/>
    <x v="6"/>
    <n v="3"/>
    <n v="90"/>
    <n v="270"/>
    <n v="0.1"/>
    <x v="45"/>
    <x v="0"/>
    <x v="2"/>
  </r>
  <r>
    <s v="ORD069"/>
    <s v="2025-02-08"/>
    <x v="19"/>
    <x v="0"/>
    <x v="4"/>
    <n v="2"/>
    <n v="180"/>
    <n v="360"/>
    <n v="0.1"/>
    <x v="8"/>
    <x v="0"/>
    <x v="0"/>
  </r>
  <r>
    <s v="ORD070"/>
    <s v="2025-01-07"/>
    <x v="10"/>
    <x v="0"/>
    <x v="9"/>
    <n v="1"/>
    <n v="60"/>
    <n v="60"/>
    <n v="0.1"/>
    <x v="46"/>
    <x v="0"/>
    <x v="2"/>
  </r>
  <r>
    <s v="ORD071"/>
    <s v="2025-01-01"/>
    <x v="0"/>
    <x v="0"/>
    <x v="3"/>
    <n v="2"/>
    <n v="80"/>
    <n v="160"/>
    <n v="0.05"/>
    <x v="47"/>
    <x v="0"/>
    <x v="2"/>
  </r>
  <r>
    <s v="ORD072"/>
    <s v="2025-02-24"/>
    <x v="2"/>
    <x v="3"/>
    <x v="6"/>
    <n v="1"/>
    <n v="90"/>
    <n v="90"/>
    <n v="0"/>
    <x v="36"/>
    <x v="0"/>
    <x v="0"/>
  </r>
  <r>
    <s v="ORD073"/>
    <s v="2025-01-10"/>
    <x v="17"/>
    <x v="1"/>
    <x v="7"/>
    <n v="1"/>
    <n v="130"/>
    <n v="130"/>
    <n v="0"/>
    <x v="39"/>
    <x v="0"/>
    <x v="2"/>
  </r>
  <r>
    <s v="ORD074"/>
    <s v="2025-02-21"/>
    <x v="4"/>
    <x v="0"/>
    <x v="2"/>
    <n v="1"/>
    <n v="100"/>
    <n v="100"/>
    <n v="0"/>
    <x v="48"/>
    <x v="0"/>
    <x v="0"/>
  </r>
  <r>
    <s v="ORD075"/>
    <s v="2025-02-27"/>
    <x v="13"/>
    <x v="1"/>
    <x v="1"/>
    <n v="5"/>
    <n v="120"/>
    <n v="600"/>
    <n v="0.1"/>
    <x v="20"/>
    <x v="0"/>
    <x v="0"/>
  </r>
  <r>
    <s v="ORD076"/>
    <s v="2025-01-21"/>
    <x v="17"/>
    <x v="2"/>
    <x v="0"/>
    <n v="1"/>
    <n v="220"/>
    <n v="220"/>
    <n v="0"/>
    <x v="49"/>
    <x v="0"/>
    <x v="2"/>
  </r>
  <r>
    <s v="ORD077"/>
    <s v="2025-02-26"/>
    <x v="5"/>
    <x v="3"/>
    <x v="4"/>
    <n v="2"/>
    <n v="180"/>
    <n v="360"/>
    <n v="0.05"/>
    <x v="1"/>
    <x v="0"/>
    <x v="0"/>
  </r>
  <r>
    <s v="ORD078"/>
    <s v="2025-01-02"/>
    <x v="18"/>
    <x v="3"/>
    <x v="2"/>
    <n v="5"/>
    <n v="100"/>
    <n v="500"/>
    <n v="0.1"/>
    <x v="50"/>
    <x v="0"/>
    <x v="2"/>
  </r>
  <r>
    <s v="ORD079"/>
    <s v="2025-01-15"/>
    <x v="13"/>
    <x v="3"/>
    <x v="6"/>
    <n v="2"/>
    <n v="90"/>
    <n v="180"/>
    <n v="0.05"/>
    <x v="15"/>
    <x v="0"/>
    <x v="2"/>
  </r>
  <r>
    <s v="ORD080"/>
    <s v="2025-02-23"/>
    <x v="17"/>
    <x v="2"/>
    <x v="0"/>
    <n v="4"/>
    <n v="220"/>
    <n v="880"/>
    <n v="0.1"/>
    <x v="0"/>
    <x v="0"/>
    <x v="0"/>
  </r>
  <r>
    <s v="ORD081"/>
    <s v="2025-02-11"/>
    <x v="19"/>
    <x v="2"/>
    <x v="5"/>
    <n v="1"/>
    <n v="150"/>
    <n v="150"/>
    <n v="0.1"/>
    <x v="51"/>
    <x v="0"/>
    <x v="0"/>
  </r>
  <r>
    <s v="ORD082"/>
    <s v="2025-02-02"/>
    <x v="14"/>
    <x v="0"/>
    <x v="8"/>
    <n v="2"/>
    <n v="250"/>
    <n v="500"/>
    <n v="0"/>
    <x v="52"/>
    <x v="0"/>
    <x v="0"/>
  </r>
  <r>
    <s v="ORD083"/>
    <s v="2025-02-16"/>
    <x v="7"/>
    <x v="0"/>
    <x v="9"/>
    <n v="1"/>
    <n v="60"/>
    <n v="60"/>
    <n v="0"/>
    <x v="6"/>
    <x v="0"/>
    <x v="0"/>
  </r>
  <r>
    <s v="ORD084"/>
    <s v="2025-01-28"/>
    <x v="1"/>
    <x v="3"/>
    <x v="4"/>
    <n v="5"/>
    <n v="180"/>
    <n v="900"/>
    <n v="0"/>
    <x v="13"/>
    <x v="0"/>
    <x v="2"/>
  </r>
  <r>
    <s v="ORD085"/>
    <s v="2025-02-08"/>
    <x v="7"/>
    <x v="2"/>
    <x v="2"/>
    <n v="4"/>
    <n v="100"/>
    <n v="400"/>
    <n v="0.05"/>
    <x v="44"/>
    <x v="0"/>
    <x v="0"/>
  </r>
  <r>
    <s v="ORD086"/>
    <s v="2025-02-13"/>
    <x v="4"/>
    <x v="0"/>
    <x v="2"/>
    <n v="5"/>
    <n v="100"/>
    <n v="500"/>
    <n v="0.1"/>
    <x v="50"/>
    <x v="0"/>
    <x v="0"/>
  </r>
  <r>
    <s v="ORD087"/>
    <s v="2025-02-22"/>
    <x v="18"/>
    <x v="1"/>
    <x v="2"/>
    <n v="1"/>
    <n v="100"/>
    <n v="100"/>
    <n v="0"/>
    <x v="48"/>
    <x v="0"/>
    <x v="0"/>
  </r>
  <r>
    <s v="ORD088"/>
    <s v="2025-02-13"/>
    <x v="0"/>
    <x v="2"/>
    <x v="0"/>
    <n v="1"/>
    <n v="220"/>
    <n v="220"/>
    <n v="0.1"/>
    <x v="34"/>
    <x v="0"/>
    <x v="0"/>
  </r>
  <r>
    <s v="ORD089"/>
    <s v="2025-01-03"/>
    <x v="2"/>
    <x v="0"/>
    <x v="2"/>
    <n v="5"/>
    <n v="100"/>
    <n v="500"/>
    <n v="0"/>
    <x v="52"/>
    <x v="0"/>
    <x v="2"/>
  </r>
  <r>
    <s v="ORD090"/>
    <s v="2025-02-20"/>
    <x v="6"/>
    <x v="0"/>
    <x v="5"/>
    <n v="4"/>
    <n v="150"/>
    <n v="600"/>
    <n v="0.05"/>
    <x v="35"/>
    <x v="0"/>
    <x v="0"/>
  </r>
  <r>
    <s v="ORD091"/>
    <s v="2025-01-10"/>
    <x v="14"/>
    <x v="3"/>
    <x v="9"/>
    <n v="5"/>
    <n v="60"/>
    <n v="300"/>
    <n v="0.05"/>
    <x v="3"/>
    <x v="0"/>
    <x v="2"/>
  </r>
  <r>
    <s v="ORD092"/>
    <s v="2025-01-04"/>
    <x v="2"/>
    <x v="3"/>
    <x v="4"/>
    <n v="2"/>
    <n v="180"/>
    <n v="360"/>
    <n v="0"/>
    <x v="7"/>
    <x v="0"/>
    <x v="2"/>
  </r>
  <r>
    <s v="ORD093"/>
    <s v="2025-02-23"/>
    <x v="2"/>
    <x v="0"/>
    <x v="0"/>
    <n v="4"/>
    <n v="220"/>
    <n v="880"/>
    <n v="0.1"/>
    <x v="0"/>
    <x v="0"/>
    <x v="0"/>
  </r>
  <r>
    <s v="ORD094"/>
    <s v="2025-02-23"/>
    <x v="7"/>
    <x v="1"/>
    <x v="0"/>
    <n v="4"/>
    <n v="220"/>
    <n v="880"/>
    <n v="0.1"/>
    <x v="0"/>
    <x v="0"/>
    <x v="0"/>
  </r>
  <r>
    <s v="ORD095"/>
    <s v="2025-02-04"/>
    <x v="3"/>
    <x v="2"/>
    <x v="4"/>
    <n v="5"/>
    <n v="180"/>
    <n v="900"/>
    <n v="0.1"/>
    <x v="41"/>
    <x v="0"/>
    <x v="0"/>
  </r>
  <r>
    <s v="ORD096"/>
    <s v="2025-01-08"/>
    <x v="2"/>
    <x v="0"/>
    <x v="3"/>
    <n v="4"/>
    <n v="80"/>
    <n v="320"/>
    <n v="0.1"/>
    <x v="26"/>
    <x v="0"/>
    <x v="2"/>
  </r>
  <r>
    <s v="ORD097"/>
    <s v="2025-01-09"/>
    <x v="14"/>
    <x v="0"/>
    <x v="2"/>
    <n v="3"/>
    <n v="100"/>
    <n v="300"/>
    <n v="0"/>
    <x v="32"/>
    <x v="0"/>
    <x v="2"/>
  </r>
  <r>
    <s v="ORD098"/>
    <s v="2025-01-19"/>
    <x v="11"/>
    <x v="1"/>
    <x v="2"/>
    <n v="5"/>
    <n v="100"/>
    <n v="500"/>
    <n v="0.1"/>
    <x v="50"/>
    <x v="0"/>
    <x v="2"/>
  </r>
  <r>
    <s v="ORD099"/>
    <s v="2025-01-12"/>
    <x v="10"/>
    <x v="2"/>
    <x v="3"/>
    <n v="5"/>
    <n v="80"/>
    <n v="400"/>
    <n v="0.1"/>
    <x v="32"/>
    <x v="0"/>
    <x v="2"/>
  </r>
  <r>
    <s v="ORD100"/>
    <s v="2025-02-18"/>
    <x v="1"/>
    <x v="0"/>
    <x v="0"/>
    <n v="4"/>
    <n v="220"/>
    <n v="880"/>
    <n v="0.1"/>
    <x v="0"/>
    <x v="0"/>
    <x v="0"/>
  </r>
  <r>
    <s v="ORD101"/>
    <s v="2025-01-25"/>
    <x v="10"/>
    <x v="1"/>
    <x v="3"/>
    <n v="3"/>
    <n v="80"/>
    <n v="240"/>
    <n v="0.1"/>
    <x v="5"/>
    <x v="0"/>
    <x v="2"/>
  </r>
  <r>
    <s v="ORD102"/>
    <s v="2025-02-08"/>
    <x v="16"/>
    <x v="2"/>
    <x v="2"/>
    <n v="2"/>
    <n v="100"/>
    <n v="200"/>
    <n v="0"/>
    <x v="53"/>
    <x v="0"/>
    <x v="0"/>
  </r>
  <r>
    <s v="ORD103"/>
    <s v="2025-02-04"/>
    <x v="1"/>
    <x v="2"/>
    <x v="3"/>
    <n v="4"/>
    <n v="80"/>
    <n v="320"/>
    <n v="0.05"/>
    <x v="24"/>
    <x v="0"/>
    <x v="0"/>
  </r>
  <r>
    <s v="ORD104"/>
    <s v="2025-03-02"/>
    <x v="1"/>
    <x v="3"/>
    <x v="2"/>
    <n v="4"/>
    <n v="100"/>
    <n v="400"/>
    <n v="0.1"/>
    <x v="32"/>
    <x v="0"/>
    <x v="1"/>
  </r>
  <r>
    <s v="ORD105"/>
    <s v="2025-02-06"/>
    <x v="10"/>
    <x v="3"/>
    <x v="4"/>
    <n v="1"/>
    <n v="180"/>
    <n v="180"/>
    <n v="0.1"/>
    <x v="54"/>
    <x v="0"/>
    <x v="0"/>
  </r>
  <r>
    <s v="ORD106"/>
    <s v="2025-01-12"/>
    <x v="16"/>
    <x v="3"/>
    <x v="4"/>
    <n v="1"/>
    <n v="180"/>
    <n v="180"/>
    <n v="0"/>
    <x v="5"/>
    <x v="0"/>
    <x v="2"/>
  </r>
  <r>
    <s v="ORD107"/>
    <s v="2025-01-10"/>
    <x v="1"/>
    <x v="3"/>
    <x v="8"/>
    <n v="4"/>
    <n v="250"/>
    <n v="1000"/>
    <n v="0.1"/>
    <x v="55"/>
    <x v="0"/>
    <x v="2"/>
  </r>
  <r>
    <s v="ORD108"/>
    <s v="2025-01-07"/>
    <x v="18"/>
    <x v="1"/>
    <x v="9"/>
    <n v="3"/>
    <n v="60"/>
    <n v="180"/>
    <n v="0.05"/>
    <x v="15"/>
    <x v="0"/>
    <x v="2"/>
  </r>
  <r>
    <s v="ORD109"/>
    <s v="2025-01-15"/>
    <x v="19"/>
    <x v="3"/>
    <x v="4"/>
    <n v="1"/>
    <n v="180"/>
    <n v="180"/>
    <n v="0"/>
    <x v="5"/>
    <x v="0"/>
    <x v="2"/>
  </r>
  <r>
    <s v="ORD110"/>
    <s v="2025-02-04"/>
    <x v="14"/>
    <x v="2"/>
    <x v="8"/>
    <n v="2"/>
    <n v="250"/>
    <n v="500"/>
    <n v="0.05"/>
    <x v="56"/>
    <x v="0"/>
    <x v="0"/>
  </r>
  <r>
    <s v="ORD111"/>
    <s v="2025-02-02"/>
    <x v="17"/>
    <x v="0"/>
    <x v="6"/>
    <n v="3"/>
    <n v="90"/>
    <n v="270"/>
    <n v="0.05"/>
    <x v="23"/>
    <x v="0"/>
    <x v="0"/>
  </r>
  <r>
    <s v="ORD112"/>
    <s v="2025-02-23"/>
    <x v="13"/>
    <x v="1"/>
    <x v="7"/>
    <n v="5"/>
    <n v="130"/>
    <n v="650"/>
    <n v="0"/>
    <x v="33"/>
    <x v="0"/>
    <x v="0"/>
  </r>
  <r>
    <s v="ORD113"/>
    <s v="2025-01-25"/>
    <x v="12"/>
    <x v="1"/>
    <x v="8"/>
    <n v="5"/>
    <n v="250"/>
    <n v="1250"/>
    <n v="0.1"/>
    <x v="57"/>
    <x v="0"/>
    <x v="2"/>
  </r>
  <r>
    <s v="ORD114"/>
    <s v="2025-02-20"/>
    <x v="1"/>
    <x v="0"/>
    <x v="2"/>
    <n v="5"/>
    <n v="100"/>
    <n v="500"/>
    <n v="0.05"/>
    <x v="56"/>
    <x v="0"/>
    <x v="0"/>
  </r>
  <r>
    <s v="ORD115"/>
    <s v="2025-02-25"/>
    <x v="12"/>
    <x v="1"/>
    <x v="2"/>
    <n v="4"/>
    <n v="100"/>
    <n v="400"/>
    <n v="0.1"/>
    <x v="32"/>
    <x v="0"/>
    <x v="0"/>
  </r>
  <r>
    <s v="ORD116"/>
    <s v="2025-02-01"/>
    <x v="5"/>
    <x v="1"/>
    <x v="3"/>
    <n v="3"/>
    <n v="80"/>
    <n v="240"/>
    <n v="0"/>
    <x v="26"/>
    <x v="0"/>
    <x v="0"/>
  </r>
  <r>
    <s v="ORD117"/>
    <s v="2025-01-31"/>
    <x v="10"/>
    <x v="3"/>
    <x v="8"/>
    <n v="4"/>
    <n v="250"/>
    <n v="1000"/>
    <n v="0.05"/>
    <x v="25"/>
    <x v="0"/>
    <x v="2"/>
  </r>
  <r>
    <s v="ORD118"/>
    <s v="2025-01-05"/>
    <x v="19"/>
    <x v="2"/>
    <x v="2"/>
    <n v="5"/>
    <n v="100"/>
    <n v="500"/>
    <n v="0.05"/>
    <x v="56"/>
    <x v="0"/>
    <x v="2"/>
  </r>
  <r>
    <s v="ORD119"/>
    <s v="2025-02-16"/>
    <x v="10"/>
    <x v="2"/>
    <x v="7"/>
    <n v="2"/>
    <n v="130"/>
    <n v="260"/>
    <n v="0"/>
    <x v="58"/>
    <x v="0"/>
    <x v="0"/>
  </r>
  <r>
    <s v="ORD120"/>
    <s v="2025-02-28"/>
    <x v="18"/>
    <x v="2"/>
    <x v="5"/>
    <n v="4"/>
    <n v="150"/>
    <n v="600"/>
    <n v="0.05"/>
    <x v="35"/>
    <x v="0"/>
    <x v="0"/>
  </r>
  <r>
    <s v="ORD121"/>
    <s v="2025-01-11"/>
    <x v="14"/>
    <x v="0"/>
    <x v="9"/>
    <n v="2"/>
    <n v="60"/>
    <n v="120"/>
    <n v="0.05"/>
    <x v="59"/>
    <x v="0"/>
    <x v="2"/>
  </r>
  <r>
    <s v="ORD122"/>
    <s v="2025-02-06"/>
    <x v="5"/>
    <x v="1"/>
    <x v="2"/>
    <n v="2"/>
    <n v="100"/>
    <n v="200"/>
    <n v="0"/>
    <x v="53"/>
    <x v="0"/>
    <x v="0"/>
  </r>
  <r>
    <s v="ORD123"/>
    <s v="2025-02-27"/>
    <x v="1"/>
    <x v="1"/>
    <x v="2"/>
    <n v="2"/>
    <n v="100"/>
    <n v="200"/>
    <n v="0.1"/>
    <x v="9"/>
    <x v="0"/>
    <x v="0"/>
  </r>
  <r>
    <s v="ORD124"/>
    <s v="2025-01-24"/>
    <x v="0"/>
    <x v="2"/>
    <x v="6"/>
    <n v="3"/>
    <n v="90"/>
    <n v="270"/>
    <n v="0"/>
    <x v="8"/>
    <x v="0"/>
    <x v="2"/>
  </r>
  <r>
    <s v="ORD125"/>
    <s v="2025-02-01"/>
    <x v="18"/>
    <x v="2"/>
    <x v="1"/>
    <n v="3"/>
    <n v="120"/>
    <n v="360"/>
    <n v="0.1"/>
    <x v="8"/>
    <x v="0"/>
    <x v="0"/>
  </r>
  <r>
    <s v="ORD126"/>
    <s v="2025-01-19"/>
    <x v="8"/>
    <x v="0"/>
    <x v="0"/>
    <n v="1"/>
    <n v="220"/>
    <n v="220"/>
    <n v="0"/>
    <x v="49"/>
    <x v="0"/>
    <x v="2"/>
  </r>
  <r>
    <s v="ORD127"/>
    <s v="2025-01-23"/>
    <x v="16"/>
    <x v="0"/>
    <x v="4"/>
    <n v="2"/>
    <n v="180"/>
    <n v="360"/>
    <n v="0"/>
    <x v="7"/>
    <x v="0"/>
    <x v="2"/>
  </r>
  <r>
    <s v="ORD128"/>
    <s v="2025-02-22"/>
    <x v="12"/>
    <x v="0"/>
    <x v="5"/>
    <n v="2"/>
    <n v="150"/>
    <n v="300"/>
    <n v="0.1"/>
    <x v="60"/>
    <x v="0"/>
    <x v="0"/>
  </r>
  <r>
    <s v="ORD129"/>
    <s v="2025-02-07"/>
    <x v="5"/>
    <x v="1"/>
    <x v="0"/>
    <n v="4"/>
    <n v="220"/>
    <n v="880"/>
    <n v="0.05"/>
    <x v="61"/>
    <x v="0"/>
    <x v="0"/>
  </r>
  <r>
    <s v="ORD130"/>
    <s v="2025-01-14"/>
    <x v="16"/>
    <x v="3"/>
    <x v="1"/>
    <n v="3"/>
    <n v="120"/>
    <n v="360"/>
    <n v="0"/>
    <x v="7"/>
    <x v="0"/>
    <x v="2"/>
  </r>
  <r>
    <s v="ORD131"/>
    <s v="2025-01-08"/>
    <x v="18"/>
    <x v="0"/>
    <x v="5"/>
    <n v="3"/>
    <n v="150"/>
    <n v="450"/>
    <n v="0.1"/>
    <x v="28"/>
    <x v="0"/>
    <x v="2"/>
  </r>
  <r>
    <s v="ORD132"/>
    <s v="2025-01-18"/>
    <x v="7"/>
    <x v="1"/>
    <x v="7"/>
    <n v="3"/>
    <n v="130"/>
    <n v="390"/>
    <n v="0.05"/>
    <x v="62"/>
    <x v="0"/>
    <x v="2"/>
  </r>
  <r>
    <s v="ORD133"/>
    <s v="2025-01-01"/>
    <x v="9"/>
    <x v="1"/>
    <x v="0"/>
    <n v="5"/>
    <n v="220"/>
    <n v="1100"/>
    <n v="0.05"/>
    <x v="63"/>
    <x v="0"/>
    <x v="2"/>
  </r>
  <r>
    <s v="ORD134"/>
    <s v="2025-01-29"/>
    <x v="17"/>
    <x v="3"/>
    <x v="0"/>
    <n v="2"/>
    <n v="220"/>
    <n v="440"/>
    <n v="0.05"/>
    <x v="21"/>
    <x v="0"/>
    <x v="2"/>
  </r>
  <r>
    <s v="ORD135"/>
    <s v="2025-02-12"/>
    <x v="13"/>
    <x v="0"/>
    <x v="0"/>
    <n v="4"/>
    <n v="220"/>
    <n v="880"/>
    <n v="0"/>
    <x v="64"/>
    <x v="0"/>
    <x v="0"/>
  </r>
  <r>
    <s v="ORD136"/>
    <s v="2025-01-26"/>
    <x v="15"/>
    <x v="0"/>
    <x v="7"/>
    <n v="4"/>
    <n v="130"/>
    <n v="520"/>
    <n v="0.05"/>
    <x v="65"/>
    <x v="0"/>
    <x v="2"/>
  </r>
  <r>
    <s v="ORD137"/>
    <s v="2025-01-02"/>
    <x v="4"/>
    <x v="3"/>
    <x v="2"/>
    <n v="2"/>
    <n v="100"/>
    <n v="200"/>
    <n v="0"/>
    <x v="53"/>
    <x v="0"/>
    <x v="2"/>
  </r>
  <r>
    <s v="ORD138"/>
    <s v="2025-01-27"/>
    <x v="10"/>
    <x v="1"/>
    <x v="9"/>
    <n v="5"/>
    <n v="60"/>
    <n v="300"/>
    <n v="0"/>
    <x v="32"/>
    <x v="0"/>
    <x v="2"/>
  </r>
  <r>
    <s v="ORD139"/>
    <s v="2025-01-12"/>
    <x v="9"/>
    <x v="3"/>
    <x v="4"/>
    <n v="4"/>
    <n v="180"/>
    <n v="720"/>
    <n v="0.1"/>
    <x v="66"/>
    <x v="0"/>
    <x v="2"/>
  </r>
  <r>
    <s v="ORD140"/>
    <s v="2025-01-18"/>
    <x v="13"/>
    <x v="2"/>
    <x v="1"/>
    <n v="1"/>
    <n v="120"/>
    <n v="120"/>
    <n v="0.1"/>
    <x v="36"/>
    <x v="0"/>
    <x v="2"/>
  </r>
  <r>
    <s v="ORD141"/>
    <s v="2025-02-16"/>
    <x v="1"/>
    <x v="3"/>
    <x v="9"/>
    <n v="1"/>
    <n v="60"/>
    <n v="60"/>
    <n v="0"/>
    <x v="6"/>
    <x v="0"/>
    <x v="0"/>
  </r>
  <r>
    <s v="ORD142"/>
    <s v="2025-02-04"/>
    <x v="11"/>
    <x v="3"/>
    <x v="7"/>
    <n v="5"/>
    <n v="130"/>
    <n v="650"/>
    <n v="0"/>
    <x v="33"/>
    <x v="0"/>
    <x v="0"/>
  </r>
  <r>
    <s v="ORD143"/>
    <s v="2025-02-28"/>
    <x v="10"/>
    <x v="0"/>
    <x v="7"/>
    <n v="1"/>
    <n v="130"/>
    <n v="130"/>
    <n v="0.1"/>
    <x v="29"/>
    <x v="0"/>
    <x v="0"/>
  </r>
  <r>
    <s v="ORD144"/>
    <s v="2025-02-01"/>
    <x v="12"/>
    <x v="1"/>
    <x v="5"/>
    <n v="5"/>
    <n v="150"/>
    <n v="750"/>
    <n v="0.1"/>
    <x v="67"/>
    <x v="0"/>
    <x v="0"/>
  </r>
  <r>
    <s v="ORD145"/>
    <s v="2025-02-25"/>
    <x v="17"/>
    <x v="1"/>
    <x v="8"/>
    <n v="4"/>
    <n v="250"/>
    <n v="1000"/>
    <n v="0"/>
    <x v="38"/>
    <x v="0"/>
    <x v="0"/>
  </r>
  <r>
    <s v="ORD146"/>
    <s v="2025-01-06"/>
    <x v="12"/>
    <x v="3"/>
    <x v="7"/>
    <n v="1"/>
    <n v="130"/>
    <n v="130"/>
    <n v="0.05"/>
    <x v="68"/>
    <x v="0"/>
    <x v="2"/>
  </r>
  <r>
    <s v="ORD147"/>
    <s v="2025-01-01"/>
    <x v="5"/>
    <x v="1"/>
    <x v="6"/>
    <n v="2"/>
    <n v="90"/>
    <n v="180"/>
    <n v="0.1"/>
    <x v="54"/>
    <x v="0"/>
    <x v="2"/>
  </r>
  <r>
    <s v="ORD148"/>
    <s v="2025-02-20"/>
    <x v="19"/>
    <x v="1"/>
    <x v="1"/>
    <n v="4"/>
    <n v="120"/>
    <n v="480"/>
    <n v="0.05"/>
    <x v="69"/>
    <x v="0"/>
    <x v="0"/>
  </r>
  <r>
    <s v="ORD149"/>
    <s v="2025-01-23"/>
    <x v="14"/>
    <x v="3"/>
    <x v="4"/>
    <n v="3"/>
    <n v="180"/>
    <n v="540"/>
    <n v="0"/>
    <x v="66"/>
    <x v="0"/>
    <x v="2"/>
  </r>
  <r>
    <s v="ORD150"/>
    <s v="2025-02-28"/>
    <x v="8"/>
    <x v="1"/>
    <x v="7"/>
    <n v="3"/>
    <n v="130"/>
    <n v="390"/>
    <n v="0.1"/>
    <x v="43"/>
    <x v="0"/>
    <x v="0"/>
  </r>
  <r>
    <s v="ORD151"/>
    <s v="2025-01-17"/>
    <x v="19"/>
    <x v="2"/>
    <x v="4"/>
    <n v="5"/>
    <n v="180"/>
    <n v="900"/>
    <n v="0"/>
    <x v="13"/>
    <x v="0"/>
    <x v="2"/>
  </r>
  <r>
    <s v="ORD152"/>
    <s v="2025-01-11"/>
    <x v="14"/>
    <x v="3"/>
    <x v="3"/>
    <n v="4"/>
    <n v="80"/>
    <n v="320"/>
    <n v="0"/>
    <x v="18"/>
    <x v="0"/>
    <x v="2"/>
  </r>
  <r>
    <s v="ORD153"/>
    <s v="2025-01-13"/>
    <x v="6"/>
    <x v="1"/>
    <x v="7"/>
    <n v="2"/>
    <n v="130"/>
    <n v="260"/>
    <n v="0.05"/>
    <x v="70"/>
    <x v="0"/>
    <x v="2"/>
  </r>
  <r>
    <s v="ORD154"/>
    <s v="2025-01-31"/>
    <x v="17"/>
    <x v="1"/>
    <x v="0"/>
    <n v="3"/>
    <n v="220"/>
    <n v="660"/>
    <n v="0.05"/>
    <x v="71"/>
    <x v="0"/>
    <x v="2"/>
  </r>
  <r>
    <s v="ORD155"/>
    <s v="2025-02-28"/>
    <x v="9"/>
    <x v="2"/>
    <x v="5"/>
    <n v="4"/>
    <n v="150"/>
    <n v="600"/>
    <n v="0.1"/>
    <x v="20"/>
    <x v="0"/>
    <x v="0"/>
  </r>
  <r>
    <s v="ORD156"/>
    <s v="2025-01-23"/>
    <x v="16"/>
    <x v="1"/>
    <x v="4"/>
    <n v="4"/>
    <n v="180"/>
    <n v="720"/>
    <n v="0"/>
    <x v="72"/>
    <x v="0"/>
    <x v="2"/>
  </r>
  <r>
    <s v="ORD157"/>
    <s v="2025-01-02"/>
    <x v="10"/>
    <x v="3"/>
    <x v="7"/>
    <n v="1"/>
    <n v="130"/>
    <n v="130"/>
    <n v="0"/>
    <x v="39"/>
    <x v="0"/>
    <x v="2"/>
  </r>
  <r>
    <s v="ORD158"/>
    <s v="2025-02-04"/>
    <x v="5"/>
    <x v="2"/>
    <x v="4"/>
    <n v="5"/>
    <n v="180"/>
    <n v="900"/>
    <n v="0"/>
    <x v="13"/>
    <x v="0"/>
    <x v="0"/>
  </r>
  <r>
    <s v="ORD159"/>
    <s v="2025-02-20"/>
    <x v="16"/>
    <x v="3"/>
    <x v="2"/>
    <n v="1"/>
    <n v="100"/>
    <n v="100"/>
    <n v="0"/>
    <x v="48"/>
    <x v="0"/>
    <x v="0"/>
  </r>
  <r>
    <s v="ORD160"/>
    <s v="2025-02-20"/>
    <x v="6"/>
    <x v="0"/>
    <x v="0"/>
    <n v="5"/>
    <n v="220"/>
    <n v="1100"/>
    <n v="0.1"/>
    <x v="73"/>
    <x v="0"/>
    <x v="0"/>
  </r>
  <r>
    <s v="ORD161"/>
    <s v="2025-02-05"/>
    <x v="1"/>
    <x v="3"/>
    <x v="2"/>
    <n v="4"/>
    <n v="100"/>
    <n v="400"/>
    <n v="0"/>
    <x v="4"/>
    <x v="0"/>
    <x v="0"/>
  </r>
  <r>
    <s v="ORD162"/>
    <s v="2025-01-07"/>
    <x v="12"/>
    <x v="3"/>
    <x v="9"/>
    <n v="2"/>
    <n v="60"/>
    <n v="120"/>
    <n v="0.05"/>
    <x v="59"/>
    <x v="0"/>
    <x v="2"/>
  </r>
  <r>
    <s v="ORD163"/>
    <s v="2025-02-11"/>
    <x v="2"/>
    <x v="1"/>
    <x v="1"/>
    <n v="2"/>
    <n v="120"/>
    <n v="240"/>
    <n v="0.05"/>
    <x v="19"/>
    <x v="0"/>
    <x v="0"/>
  </r>
  <r>
    <s v="ORD164"/>
    <s v="2025-02-04"/>
    <x v="10"/>
    <x v="2"/>
    <x v="8"/>
    <n v="1"/>
    <n v="250"/>
    <n v="250"/>
    <n v="0.1"/>
    <x v="74"/>
    <x v="0"/>
    <x v="0"/>
  </r>
  <r>
    <s v="ORD165"/>
    <s v="2025-02-08"/>
    <x v="10"/>
    <x v="0"/>
    <x v="4"/>
    <n v="1"/>
    <n v="180"/>
    <n v="180"/>
    <n v="0.1"/>
    <x v="54"/>
    <x v="0"/>
    <x v="0"/>
  </r>
  <r>
    <s v="ORD166"/>
    <s v="2025-02-10"/>
    <x v="12"/>
    <x v="0"/>
    <x v="7"/>
    <n v="1"/>
    <n v="130"/>
    <n v="130"/>
    <n v="0"/>
    <x v="39"/>
    <x v="0"/>
    <x v="0"/>
  </r>
  <r>
    <s v="ORD167"/>
    <s v="2025-01-18"/>
    <x v="13"/>
    <x v="1"/>
    <x v="2"/>
    <n v="3"/>
    <n v="100"/>
    <n v="300"/>
    <n v="0"/>
    <x v="32"/>
    <x v="0"/>
    <x v="2"/>
  </r>
  <r>
    <s v="ORD168"/>
    <s v="2025-01-08"/>
    <x v="1"/>
    <x v="1"/>
    <x v="4"/>
    <n v="5"/>
    <n v="180"/>
    <n v="900"/>
    <n v="0.05"/>
    <x v="75"/>
    <x v="0"/>
    <x v="2"/>
  </r>
  <r>
    <s v="ORD169"/>
    <s v="2025-01-19"/>
    <x v="9"/>
    <x v="3"/>
    <x v="9"/>
    <n v="1"/>
    <n v="60"/>
    <n v="60"/>
    <n v="0.1"/>
    <x v="46"/>
    <x v="0"/>
    <x v="2"/>
  </r>
  <r>
    <s v="ORD170"/>
    <s v="2025-01-10"/>
    <x v="0"/>
    <x v="2"/>
    <x v="9"/>
    <n v="3"/>
    <n v="60"/>
    <n v="180"/>
    <n v="0.05"/>
    <x v="15"/>
    <x v="0"/>
    <x v="2"/>
  </r>
  <r>
    <s v="ORD171"/>
    <s v="2025-02-20"/>
    <x v="3"/>
    <x v="2"/>
    <x v="0"/>
    <n v="3"/>
    <n v="220"/>
    <n v="660"/>
    <n v="0.1"/>
    <x v="76"/>
    <x v="0"/>
    <x v="0"/>
  </r>
  <r>
    <s v="ORD172"/>
    <s v="2025-02-17"/>
    <x v="6"/>
    <x v="0"/>
    <x v="7"/>
    <n v="1"/>
    <n v="130"/>
    <n v="130"/>
    <n v="0"/>
    <x v="39"/>
    <x v="0"/>
    <x v="0"/>
  </r>
  <r>
    <s v="ORD173"/>
    <s v="2025-01-09"/>
    <x v="12"/>
    <x v="2"/>
    <x v="8"/>
    <n v="5"/>
    <n v="250"/>
    <n v="1250"/>
    <n v="0.1"/>
    <x v="57"/>
    <x v="0"/>
    <x v="2"/>
  </r>
  <r>
    <s v="ORD174"/>
    <s v="2025-02-11"/>
    <x v="6"/>
    <x v="2"/>
    <x v="6"/>
    <n v="1"/>
    <n v="90"/>
    <n v="90"/>
    <n v="0.1"/>
    <x v="77"/>
    <x v="0"/>
    <x v="0"/>
  </r>
  <r>
    <s v="ORD175"/>
    <s v="2025-01-05"/>
    <x v="14"/>
    <x v="0"/>
    <x v="5"/>
    <n v="4"/>
    <n v="150"/>
    <n v="600"/>
    <n v="0.1"/>
    <x v="20"/>
    <x v="0"/>
    <x v="2"/>
  </r>
  <r>
    <s v="ORD176"/>
    <s v="2025-02-14"/>
    <x v="9"/>
    <x v="2"/>
    <x v="5"/>
    <n v="2"/>
    <n v="150"/>
    <n v="300"/>
    <n v="0.05"/>
    <x v="3"/>
    <x v="0"/>
    <x v="0"/>
  </r>
  <r>
    <s v="ORD177"/>
    <s v="2025-01-04"/>
    <x v="6"/>
    <x v="1"/>
    <x v="4"/>
    <n v="3"/>
    <n v="180"/>
    <n v="540"/>
    <n v="0"/>
    <x v="66"/>
    <x v="0"/>
    <x v="2"/>
  </r>
  <r>
    <s v="ORD178"/>
    <s v="2025-02-08"/>
    <x v="4"/>
    <x v="2"/>
    <x v="5"/>
    <n v="2"/>
    <n v="150"/>
    <n v="300"/>
    <n v="0.1"/>
    <x v="60"/>
    <x v="0"/>
    <x v="0"/>
  </r>
  <r>
    <s v="ORD179"/>
    <s v="2025-01-10"/>
    <x v="9"/>
    <x v="0"/>
    <x v="3"/>
    <n v="5"/>
    <n v="80"/>
    <n v="400"/>
    <n v="0.05"/>
    <x v="44"/>
    <x v="0"/>
    <x v="2"/>
  </r>
  <r>
    <s v="ORD180"/>
    <s v="2025-01-16"/>
    <x v="19"/>
    <x v="0"/>
    <x v="5"/>
    <n v="4"/>
    <n v="150"/>
    <n v="600"/>
    <n v="0"/>
    <x v="78"/>
    <x v="0"/>
    <x v="2"/>
  </r>
  <r>
    <s v="ORD181"/>
    <s v="2025-02-26"/>
    <x v="12"/>
    <x v="3"/>
    <x v="1"/>
    <n v="5"/>
    <n v="120"/>
    <n v="600"/>
    <n v="0.1"/>
    <x v="20"/>
    <x v="0"/>
    <x v="0"/>
  </r>
  <r>
    <s v="ORD182"/>
    <s v="2025-01-19"/>
    <x v="8"/>
    <x v="0"/>
    <x v="4"/>
    <n v="2"/>
    <n v="180"/>
    <n v="360"/>
    <n v="0"/>
    <x v="7"/>
    <x v="0"/>
    <x v="2"/>
  </r>
  <r>
    <s v="ORD183"/>
    <s v="2025-01-23"/>
    <x v="1"/>
    <x v="3"/>
    <x v="7"/>
    <n v="3"/>
    <n v="130"/>
    <n v="390"/>
    <n v="0.05"/>
    <x v="62"/>
    <x v="0"/>
    <x v="2"/>
  </r>
  <r>
    <s v="ORD184"/>
    <s v="2025-02-20"/>
    <x v="1"/>
    <x v="0"/>
    <x v="9"/>
    <n v="4"/>
    <n v="60"/>
    <n v="240"/>
    <n v="0"/>
    <x v="26"/>
    <x v="0"/>
    <x v="0"/>
  </r>
  <r>
    <s v="ORD185"/>
    <s v="2025-01-05"/>
    <x v="8"/>
    <x v="2"/>
    <x v="9"/>
    <n v="5"/>
    <n v="60"/>
    <n v="300"/>
    <n v="0"/>
    <x v="32"/>
    <x v="0"/>
    <x v="2"/>
  </r>
  <r>
    <s v="ORD186"/>
    <s v="2025-01-14"/>
    <x v="19"/>
    <x v="2"/>
    <x v="5"/>
    <n v="3"/>
    <n v="150"/>
    <n v="450"/>
    <n v="0"/>
    <x v="20"/>
    <x v="0"/>
    <x v="2"/>
  </r>
  <r>
    <s v="ORD187"/>
    <s v="2025-01-23"/>
    <x v="2"/>
    <x v="1"/>
    <x v="8"/>
    <n v="2"/>
    <n v="250"/>
    <n v="500"/>
    <n v="0.1"/>
    <x v="50"/>
    <x v="0"/>
    <x v="2"/>
  </r>
  <r>
    <s v="ORD188"/>
    <s v="2025-02-17"/>
    <x v="10"/>
    <x v="0"/>
    <x v="1"/>
    <n v="4"/>
    <n v="120"/>
    <n v="480"/>
    <n v="0.1"/>
    <x v="7"/>
    <x v="0"/>
    <x v="0"/>
  </r>
  <r>
    <s v="ORD189"/>
    <s v="2025-02-11"/>
    <x v="11"/>
    <x v="0"/>
    <x v="8"/>
    <n v="3"/>
    <n v="250"/>
    <n v="750"/>
    <n v="0"/>
    <x v="55"/>
    <x v="0"/>
    <x v="0"/>
  </r>
  <r>
    <s v="ORD190"/>
    <s v="2025-01-24"/>
    <x v="16"/>
    <x v="2"/>
    <x v="6"/>
    <n v="1"/>
    <n v="90"/>
    <n v="90"/>
    <n v="0.1"/>
    <x v="77"/>
    <x v="0"/>
    <x v="2"/>
  </r>
  <r>
    <s v="ORD191"/>
    <s v="2025-01-05"/>
    <x v="16"/>
    <x v="1"/>
    <x v="6"/>
    <n v="3"/>
    <n v="90"/>
    <n v="270"/>
    <n v="0"/>
    <x v="8"/>
    <x v="0"/>
    <x v="2"/>
  </r>
  <r>
    <s v="ORD192"/>
    <s v="2025-01-10"/>
    <x v="18"/>
    <x v="0"/>
    <x v="9"/>
    <n v="2"/>
    <n v="60"/>
    <n v="120"/>
    <n v="0"/>
    <x v="31"/>
    <x v="0"/>
    <x v="2"/>
  </r>
  <r>
    <s v="ORD193"/>
    <s v="2025-01-30"/>
    <x v="19"/>
    <x v="0"/>
    <x v="3"/>
    <n v="5"/>
    <n v="80"/>
    <n v="400"/>
    <n v="0.1"/>
    <x v="32"/>
    <x v="0"/>
    <x v="2"/>
  </r>
  <r>
    <s v="ORD194"/>
    <s v="2025-02-23"/>
    <x v="19"/>
    <x v="3"/>
    <x v="1"/>
    <n v="2"/>
    <n v="120"/>
    <n v="240"/>
    <n v="0.1"/>
    <x v="5"/>
    <x v="0"/>
    <x v="0"/>
  </r>
  <r>
    <s v="ORD195"/>
    <s v="2025-03-02"/>
    <x v="1"/>
    <x v="2"/>
    <x v="1"/>
    <n v="3"/>
    <n v="120"/>
    <n v="360"/>
    <n v="0"/>
    <x v="7"/>
    <x v="0"/>
    <x v="1"/>
  </r>
  <r>
    <s v="ORD196"/>
    <s v="2025-02-14"/>
    <x v="19"/>
    <x v="3"/>
    <x v="7"/>
    <n v="5"/>
    <n v="130"/>
    <n v="650"/>
    <n v="0.05"/>
    <x v="40"/>
    <x v="0"/>
    <x v="0"/>
  </r>
  <r>
    <s v="ORD197"/>
    <s v="2025-02-20"/>
    <x v="7"/>
    <x v="3"/>
    <x v="4"/>
    <n v="4"/>
    <n v="180"/>
    <n v="720"/>
    <n v="0.1"/>
    <x v="66"/>
    <x v="0"/>
    <x v="0"/>
  </r>
  <r>
    <s v="ORD198"/>
    <s v="2025-02-15"/>
    <x v="3"/>
    <x v="0"/>
    <x v="1"/>
    <n v="3"/>
    <n v="120"/>
    <n v="360"/>
    <n v="0"/>
    <x v="7"/>
    <x v="0"/>
    <x v="0"/>
  </r>
  <r>
    <s v="ORD199"/>
    <s v="2025-02-27"/>
    <x v="13"/>
    <x v="0"/>
    <x v="8"/>
    <n v="4"/>
    <n v="250"/>
    <n v="1000"/>
    <n v="0"/>
    <x v="38"/>
    <x v="0"/>
    <x v="0"/>
  </r>
  <r>
    <s v="ORD200"/>
    <s v="2025-03-01"/>
    <x v="12"/>
    <x v="0"/>
    <x v="4"/>
    <n v="2"/>
    <n v="180"/>
    <n v="360"/>
    <n v="0"/>
    <x v="7"/>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C91F2B-A05C-4674-9F21-BC4B76CEAA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14" firstHeaderRow="1" firstDataRow="1" firstDataCol="1"/>
  <pivotFields count="12">
    <pivotField showAll="0"/>
    <pivotField showAll="0"/>
    <pivotField showAll="0"/>
    <pivotField showAll="0">
      <items count="5">
        <item x="0"/>
        <item x="1"/>
        <item x="3"/>
        <item x="2"/>
        <item t="default"/>
      </items>
    </pivotField>
    <pivotField axis="axisRow" showAll="0">
      <items count="11">
        <item x="1"/>
        <item x="4"/>
        <item x="9"/>
        <item x="2"/>
        <item x="7"/>
        <item x="6"/>
        <item x="3"/>
        <item x="0"/>
        <item x="8"/>
        <item x="5"/>
        <item t="default"/>
      </items>
    </pivotField>
    <pivotField showAll="0"/>
    <pivotField showAll="0"/>
    <pivotField dataField="1" showAll="0"/>
    <pivotField showAll="0"/>
    <pivotField showAll="0">
      <items count="80">
        <item x="46"/>
        <item x="6"/>
        <item x="77"/>
        <item x="16"/>
        <item x="11"/>
        <item x="2"/>
        <item x="36"/>
        <item x="29"/>
        <item x="48"/>
        <item x="59"/>
        <item x="51"/>
        <item x="68"/>
        <item x="31"/>
        <item x="39"/>
        <item x="54"/>
        <item x="47"/>
        <item x="9"/>
        <item x="15"/>
        <item x="34"/>
        <item x="5"/>
        <item x="74"/>
        <item x="27"/>
        <item x="53"/>
        <item x="45"/>
        <item x="19"/>
        <item x="30"/>
        <item x="49"/>
        <item x="60"/>
        <item x="70"/>
        <item x="23"/>
        <item x="26"/>
        <item x="17"/>
        <item x="58"/>
        <item x="3"/>
        <item x="8"/>
        <item x="24"/>
        <item x="43"/>
        <item x="32"/>
        <item x="1"/>
        <item x="18"/>
        <item x="28"/>
        <item x="62"/>
        <item x="44"/>
        <item x="7"/>
        <item x="50"/>
        <item x="21"/>
        <item x="10"/>
        <item x="14"/>
        <item x="4"/>
        <item x="37"/>
        <item x="69"/>
        <item x="56"/>
        <item x="20"/>
        <item x="65"/>
        <item x="76"/>
        <item x="52"/>
        <item x="12"/>
        <item x="35"/>
        <item x="66"/>
        <item x="67"/>
        <item x="40"/>
        <item x="71"/>
        <item x="78"/>
        <item x="33"/>
        <item x="0"/>
        <item x="41"/>
        <item x="72"/>
        <item x="55"/>
        <item x="61"/>
        <item x="75"/>
        <item x="73"/>
        <item x="25"/>
        <item x="64"/>
        <item x="13"/>
        <item x="57"/>
        <item x="63"/>
        <item x="38"/>
        <item x="22"/>
        <item x="42"/>
        <item t="default"/>
      </items>
    </pivotField>
    <pivotField showAll="0"/>
    <pivotField showAll="0">
      <items count="4">
        <item x="2"/>
        <item x="0"/>
        <item x="1"/>
        <item t="default"/>
      </items>
    </pivotField>
  </pivotFields>
  <rowFields count="1">
    <field x="4"/>
  </rowFields>
  <rowItems count="11">
    <i>
      <x/>
    </i>
    <i>
      <x v="1"/>
    </i>
    <i>
      <x v="2"/>
    </i>
    <i>
      <x v="3"/>
    </i>
    <i>
      <x v="4"/>
    </i>
    <i>
      <x v="5"/>
    </i>
    <i>
      <x v="6"/>
    </i>
    <i>
      <x v="7"/>
    </i>
    <i>
      <x v="8"/>
    </i>
    <i>
      <x v="9"/>
    </i>
    <i t="grand">
      <x/>
    </i>
  </rowItems>
  <colItems count="1">
    <i/>
  </colItems>
  <dataFields count="1">
    <dataField name="Sum of Total Amount" fld="7" baseField="0" baseItem="0"/>
  </dataFields>
  <chartFormats count="4">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009ED4-112D-4E4D-9FA3-BCDDBAEB04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8" firstHeaderRow="1" firstDataRow="1" firstDataCol="1"/>
  <pivotFields count="12">
    <pivotField showAll="0"/>
    <pivotField showAll="0"/>
    <pivotField showAll="0"/>
    <pivotField axis="axisRow"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 showAll="0">
      <items count="11">
        <item x="1"/>
        <item x="4"/>
        <item x="9"/>
        <item x="2"/>
        <item x="7"/>
        <item x="6"/>
        <item x="3"/>
        <item x="0"/>
        <item x="8"/>
        <item x="5"/>
        <item t="default"/>
      </items>
    </pivotField>
    <pivotField showAll="0"/>
    <pivotField showAll="0"/>
    <pivotField showAll="0"/>
    <pivotField showAll="0"/>
    <pivotField dataField="1" showAll="0"/>
    <pivotField showAll="0"/>
    <pivotField showAll="0">
      <items count="4">
        <item x="2"/>
        <item x="0"/>
        <item x="1"/>
        <item t="default"/>
      </items>
    </pivotField>
  </pivotFields>
  <rowFields count="1">
    <field x="3"/>
  </rowFields>
  <rowItems count="5">
    <i>
      <x v="2"/>
    </i>
    <i>
      <x v="3"/>
    </i>
    <i>
      <x v="1"/>
    </i>
    <i>
      <x/>
    </i>
    <i t="grand">
      <x/>
    </i>
  </rowItems>
  <colItems count="1">
    <i/>
  </colItems>
  <dataFields count="1">
    <dataField name="Sum of Profit" fld="9" baseField="0" baseItem="0"/>
  </dataFields>
  <chartFormats count="3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3" count="1" selected="0">
            <x v="2"/>
          </reference>
        </references>
      </pivotArea>
    </chartFormat>
    <chartFormat chart="7" format="7">
      <pivotArea type="data" outline="0" fieldPosition="0">
        <references count="2">
          <reference field="4294967294" count="1" selected="0">
            <x v="0"/>
          </reference>
          <reference field="3" count="1" selected="0">
            <x v="3"/>
          </reference>
        </references>
      </pivotArea>
    </chartFormat>
    <chartFormat chart="7" format="8">
      <pivotArea type="data" outline="0" fieldPosition="0">
        <references count="2">
          <reference field="4294967294" count="1" selected="0">
            <x v="0"/>
          </reference>
          <reference field="3" count="1" selected="0">
            <x v="1"/>
          </reference>
        </references>
      </pivotArea>
    </chartFormat>
    <chartFormat chart="7" format="9">
      <pivotArea type="data" outline="0" fieldPosition="0">
        <references count="2">
          <reference field="4294967294" count="1" selected="0">
            <x v="0"/>
          </reference>
          <reference field="3"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3" count="1" selected="0">
            <x v="2"/>
          </reference>
        </references>
      </pivotArea>
    </chartFormat>
    <chartFormat chart="8" format="12">
      <pivotArea type="data" outline="0" fieldPosition="0">
        <references count="2">
          <reference field="4294967294" count="1" selected="0">
            <x v="0"/>
          </reference>
          <reference field="3" count="1" selected="0">
            <x v="3"/>
          </reference>
        </references>
      </pivotArea>
    </chartFormat>
    <chartFormat chart="8" format="13">
      <pivotArea type="data" outline="0" fieldPosition="0">
        <references count="2">
          <reference field="4294967294" count="1" selected="0">
            <x v="0"/>
          </reference>
          <reference field="3" count="1" selected="0">
            <x v="1"/>
          </reference>
        </references>
      </pivotArea>
    </chartFormat>
    <chartFormat chart="8" format="14">
      <pivotArea type="data" outline="0" fieldPosition="0">
        <references count="2">
          <reference field="4294967294" count="1" selected="0">
            <x v="0"/>
          </reference>
          <reference field="3"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3" count="1" selected="0">
            <x v="3"/>
          </reference>
        </references>
      </pivotArea>
    </chartFormat>
    <chartFormat chart="22" format="7">
      <pivotArea type="data" outline="0" fieldPosition="0">
        <references count="2">
          <reference field="4294967294" count="1" selected="0">
            <x v="0"/>
          </reference>
          <reference field="3" count="1" selected="0">
            <x v="0"/>
          </reference>
        </references>
      </pivotArea>
    </chartFormat>
    <chartFormat chart="22" format="8">
      <pivotArea type="data" outline="0" fieldPosition="0">
        <references count="2">
          <reference field="4294967294" count="1" selected="0">
            <x v="0"/>
          </reference>
          <reference field="3" count="1" selected="0">
            <x v="2"/>
          </reference>
        </references>
      </pivotArea>
    </chartFormat>
    <chartFormat chart="22" format="9">
      <pivotArea type="data" outline="0" fieldPosition="0">
        <references count="2">
          <reference field="4294967294" count="1" selected="0">
            <x v="0"/>
          </reference>
          <reference field="3" count="1" selected="0">
            <x v="1"/>
          </reference>
        </references>
      </pivotArea>
    </chartFormat>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3" count="1" selected="0">
            <x v="3"/>
          </reference>
        </references>
      </pivotArea>
    </chartFormat>
    <chartFormat chart="23" format="12">
      <pivotArea type="data" outline="0" fieldPosition="0">
        <references count="2">
          <reference field="4294967294" count="1" selected="0">
            <x v="0"/>
          </reference>
          <reference field="3" count="1" selected="0">
            <x v="0"/>
          </reference>
        </references>
      </pivotArea>
    </chartFormat>
    <chartFormat chart="23" format="13">
      <pivotArea type="data" outline="0" fieldPosition="0">
        <references count="2">
          <reference field="4294967294" count="1" selected="0">
            <x v="0"/>
          </reference>
          <reference field="3" count="1" selected="0">
            <x v="2"/>
          </reference>
        </references>
      </pivotArea>
    </chartFormat>
    <chartFormat chart="23" format="14">
      <pivotArea type="data" outline="0" fieldPosition="0">
        <references count="2">
          <reference field="4294967294" count="1" selected="0">
            <x v="0"/>
          </reference>
          <reference field="3" count="1" selected="0">
            <x v="1"/>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3" count="1" selected="0">
            <x v="3"/>
          </reference>
        </references>
      </pivotArea>
    </chartFormat>
    <chartFormat chart="24" format="12">
      <pivotArea type="data" outline="0" fieldPosition="0">
        <references count="2">
          <reference field="4294967294" count="1" selected="0">
            <x v="0"/>
          </reference>
          <reference field="3" count="1" selected="0">
            <x v="0"/>
          </reference>
        </references>
      </pivotArea>
    </chartFormat>
    <chartFormat chart="24" format="13">
      <pivotArea type="data" outline="0" fieldPosition="0">
        <references count="2">
          <reference field="4294967294" count="1" selected="0">
            <x v="0"/>
          </reference>
          <reference field="3" count="1" selected="0">
            <x v="2"/>
          </reference>
        </references>
      </pivotArea>
    </chartFormat>
    <chartFormat chart="24" format="1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D899F2-8F34-45C0-BE94-E868CA24C9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2">
    <pivotField showAll="0"/>
    <pivotField showAll="0"/>
    <pivotField showAll="0"/>
    <pivotField showAll="0">
      <items count="5">
        <item x="0"/>
        <item x="1"/>
        <item x="3"/>
        <item x="2"/>
        <item t="default"/>
      </items>
    </pivotField>
    <pivotField showAll="0">
      <items count="11">
        <item x="1"/>
        <item x="4"/>
        <item x="9"/>
        <item x="2"/>
        <item x="7"/>
        <item x="6"/>
        <item x="3"/>
        <item x="0"/>
        <item x="8"/>
        <item x="5"/>
        <item t="default"/>
      </items>
    </pivotField>
    <pivotField showAll="0"/>
    <pivotField showAll="0"/>
    <pivotField showAll="0"/>
    <pivotField showAll="0"/>
    <pivotField dataField="1" showAll="0">
      <items count="80">
        <item x="46"/>
        <item x="6"/>
        <item x="77"/>
        <item x="16"/>
        <item x="11"/>
        <item x="2"/>
        <item x="36"/>
        <item x="29"/>
        <item x="48"/>
        <item x="59"/>
        <item x="51"/>
        <item x="68"/>
        <item x="31"/>
        <item x="39"/>
        <item x="54"/>
        <item x="47"/>
        <item x="9"/>
        <item x="15"/>
        <item x="34"/>
        <item x="5"/>
        <item x="74"/>
        <item x="27"/>
        <item x="53"/>
        <item x="45"/>
        <item x="19"/>
        <item x="30"/>
        <item x="49"/>
        <item x="60"/>
        <item x="70"/>
        <item x="23"/>
        <item x="26"/>
        <item x="17"/>
        <item x="58"/>
        <item x="3"/>
        <item x="8"/>
        <item x="24"/>
        <item x="43"/>
        <item x="32"/>
        <item x="1"/>
        <item x="18"/>
        <item x="28"/>
        <item x="62"/>
        <item x="44"/>
        <item x="7"/>
        <item x="50"/>
        <item x="21"/>
        <item x="10"/>
        <item x="14"/>
        <item x="4"/>
        <item x="37"/>
        <item x="69"/>
        <item x="56"/>
        <item x="20"/>
        <item x="65"/>
        <item x="76"/>
        <item x="52"/>
        <item x="12"/>
        <item x="35"/>
        <item x="66"/>
        <item x="67"/>
        <item x="40"/>
        <item x="71"/>
        <item x="78"/>
        <item x="33"/>
        <item x="0"/>
        <item x="41"/>
        <item x="72"/>
        <item x="55"/>
        <item x="61"/>
        <item x="75"/>
        <item x="73"/>
        <item x="25"/>
        <item x="64"/>
        <item x="13"/>
        <item x="57"/>
        <item x="63"/>
        <item x="38"/>
        <item x="22"/>
        <item x="42"/>
        <item t="default"/>
      </items>
    </pivotField>
    <pivotField axis="axisRow" showAll="0">
      <items count="2">
        <item x="0"/>
        <item t="default"/>
      </items>
    </pivotField>
    <pivotField axis="axisRow" showAll="0">
      <items count="4">
        <item x="2"/>
        <item x="0"/>
        <item x="1"/>
        <item t="default"/>
      </items>
    </pivotField>
  </pivotFields>
  <rowFields count="2">
    <field x="10"/>
    <field x="11"/>
  </rowFields>
  <rowItems count="5">
    <i>
      <x/>
    </i>
    <i r="1">
      <x/>
    </i>
    <i r="1">
      <x v="1"/>
    </i>
    <i r="1">
      <x v="2"/>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07CE97-2880-4B25-8A81-78D981BF2F8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5" firstHeaderRow="1" firstDataRow="1" firstDataCol="1"/>
  <pivotFields count="12">
    <pivotField showAll="0"/>
    <pivotField showAll="0"/>
    <pivotField axis="axisRow" showAll="0" measureFilter="1" sortType="descending">
      <items count="21">
        <item x="3"/>
        <item x="10"/>
        <item x="8"/>
        <item x="12"/>
        <item x="14"/>
        <item x="6"/>
        <item x="15"/>
        <item x="5"/>
        <item x="16"/>
        <item x="13"/>
        <item x="17"/>
        <item x="19"/>
        <item x="4"/>
        <item x="9"/>
        <item x="11"/>
        <item x="0"/>
        <item x="1"/>
        <item x="7"/>
        <item x="18"/>
        <item x="2"/>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items count="11">
        <item x="1"/>
        <item x="4"/>
        <item x="9"/>
        <item x="2"/>
        <item x="7"/>
        <item x="6"/>
        <item x="3"/>
        <item x="0"/>
        <item x="8"/>
        <item x="5"/>
        <item t="default"/>
      </items>
    </pivotField>
    <pivotField showAll="0"/>
    <pivotField showAll="0"/>
    <pivotField showAll="0"/>
    <pivotField showAll="0"/>
    <pivotField dataField="1" showAll="0"/>
    <pivotField showAll="0"/>
    <pivotField showAll="0">
      <items count="4">
        <item x="2"/>
        <item x="0"/>
        <item x="1"/>
        <item t="default"/>
      </items>
    </pivotField>
  </pivotFields>
  <rowFields count="1">
    <field x="2"/>
  </rowFields>
  <rowItems count="12">
    <i>
      <x v="16"/>
    </i>
    <i>
      <x v="11"/>
    </i>
    <i>
      <x v="19"/>
    </i>
    <i>
      <x v="3"/>
    </i>
    <i>
      <x v="9"/>
    </i>
    <i>
      <x v="4"/>
    </i>
    <i>
      <x v="10"/>
    </i>
    <i>
      <x/>
    </i>
    <i>
      <x v="17"/>
    </i>
    <i>
      <x v="1"/>
    </i>
    <i>
      <x v="15"/>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11" filterVal="1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79002A-09D6-4169-91B1-D15B62EEF0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2">
    <pivotField showAll="0"/>
    <pivotField showAll="0"/>
    <pivotField showAll="0"/>
    <pivotField showAll="0">
      <items count="5">
        <item x="0"/>
        <item x="1"/>
        <item x="3"/>
        <item x="2"/>
        <item t="default"/>
      </items>
    </pivotField>
    <pivotField axis="axisRow" showAll="0" sortType="ascending">
      <items count="11">
        <item x="1"/>
        <item x="4"/>
        <item x="9"/>
        <item x="2"/>
        <item x="7"/>
        <item x="6"/>
        <item x="3"/>
        <item x="0"/>
        <item x="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80">
        <item x="46"/>
        <item x="6"/>
        <item x="77"/>
        <item x="16"/>
        <item x="11"/>
        <item x="2"/>
        <item x="36"/>
        <item x="29"/>
        <item x="48"/>
        <item x="59"/>
        <item x="51"/>
        <item x="68"/>
        <item x="31"/>
        <item x="39"/>
        <item x="54"/>
        <item x="47"/>
        <item x="9"/>
        <item x="15"/>
        <item x="34"/>
        <item x="5"/>
        <item x="74"/>
        <item x="27"/>
        <item x="53"/>
        <item x="45"/>
        <item x="19"/>
        <item x="30"/>
        <item x="49"/>
        <item x="60"/>
        <item x="70"/>
        <item x="23"/>
        <item x="26"/>
        <item x="17"/>
        <item x="58"/>
        <item x="3"/>
        <item x="8"/>
        <item x="24"/>
        <item x="43"/>
        <item x="32"/>
        <item x="1"/>
        <item x="18"/>
        <item x="28"/>
        <item x="62"/>
        <item x="44"/>
        <item x="7"/>
        <item x="50"/>
        <item x="21"/>
        <item x="10"/>
        <item x="14"/>
        <item x="4"/>
        <item x="37"/>
        <item x="69"/>
        <item x="56"/>
        <item x="20"/>
        <item x="65"/>
        <item x="76"/>
        <item x="52"/>
        <item x="12"/>
        <item x="35"/>
        <item x="66"/>
        <item x="67"/>
        <item x="40"/>
        <item x="71"/>
        <item x="78"/>
        <item x="33"/>
        <item x="0"/>
        <item x="41"/>
        <item x="72"/>
        <item x="55"/>
        <item x="61"/>
        <item x="75"/>
        <item x="73"/>
        <item x="25"/>
        <item x="64"/>
        <item x="13"/>
        <item x="57"/>
        <item x="63"/>
        <item x="38"/>
        <item x="22"/>
        <item x="42"/>
        <item t="default"/>
      </items>
    </pivotField>
    <pivotField showAll="0"/>
    <pivotField showAll="0">
      <items count="4">
        <item x="2"/>
        <item x="0"/>
        <item x="1"/>
        <item t="default"/>
      </items>
    </pivotField>
  </pivotFields>
  <rowFields count="1">
    <field x="4"/>
  </rowFields>
  <rowItems count="11">
    <i>
      <x v="2"/>
    </i>
    <i>
      <x v="5"/>
    </i>
    <i>
      <x v="6"/>
    </i>
    <i>
      <x v="3"/>
    </i>
    <i>
      <x/>
    </i>
    <i>
      <x v="9"/>
    </i>
    <i>
      <x v="4"/>
    </i>
    <i>
      <x v="7"/>
    </i>
    <i>
      <x v="8"/>
    </i>
    <i>
      <x v="1"/>
    </i>
    <i t="grand">
      <x/>
    </i>
  </rowItems>
  <colItems count="1">
    <i/>
  </colItems>
  <dataFields count="1">
    <dataField name="Sum of Profit" fld="9"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9EE182EA-310A-4C2C-9DC4-5039613DFD00}" sourceName="MONTHS">
  <pivotTables>
    <pivotTable tabId="5" name="PivotTable3"/>
    <pivotTable tabId="9" name="PivotTable5"/>
    <pivotTable tabId="4" name="PivotTable2"/>
    <pivotTable tabId="6" name="PivotTable4"/>
    <pivotTable tabId="3" name="PivotTable1"/>
  </pivotTables>
  <data>
    <tabular pivotCacheId="31407726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FCFFF7-13C8-40B3-8612-54E6AD90C3F8}" sourceName="Region">
  <pivotTables>
    <pivotTable tabId="4" name="PivotTable2"/>
    <pivotTable tabId="5" name="PivotTable3"/>
    <pivotTable tabId="9" name="PivotTable5"/>
    <pivotTable tabId="6" name="PivotTable4"/>
    <pivotTable tabId="3" name="PivotTable1"/>
  </pivotTables>
  <data>
    <tabular pivotCacheId="314077262">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D9D5DEAC-7B12-4129-B221-7703D3CFA863}" sourceName="Profit">
  <pivotTables>
    <pivotTable tabId="9" name="PivotTable5"/>
    <pivotTable tabId="3" name="PivotTable1"/>
  </pivotTables>
  <data>
    <tabular pivotCacheId="314077262">
      <items count="79">
        <i x="46" s="1"/>
        <i x="6" s="1"/>
        <i x="77" s="1"/>
        <i x="16" s="1"/>
        <i x="11" s="1"/>
        <i x="2" s="1"/>
        <i x="36" s="1"/>
        <i x="29" s="1"/>
        <i x="48" s="1"/>
        <i x="59" s="1"/>
        <i x="51" s="1"/>
        <i x="68" s="1"/>
        <i x="31" s="1"/>
        <i x="39" s="1"/>
        <i x="54" s="1"/>
        <i x="47" s="1"/>
        <i x="9" s="1"/>
        <i x="15" s="1"/>
        <i x="34" s="1"/>
        <i x="5" s="1"/>
        <i x="74" s="1"/>
        <i x="27" s="1"/>
        <i x="53" s="1"/>
        <i x="45" s="1"/>
        <i x="19" s="1"/>
        <i x="30" s="1"/>
        <i x="49" s="1"/>
        <i x="60" s="1"/>
        <i x="70" s="1"/>
        <i x="23" s="1"/>
        <i x="26" s="1"/>
        <i x="17" s="1"/>
        <i x="58" s="1"/>
        <i x="3" s="1"/>
        <i x="8" s="1"/>
        <i x="24" s="1"/>
        <i x="43" s="1"/>
        <i x="32" s="1"/>
        <i x="1" s="1"/>
        <i x="18" s="1"/>
        <i x="28" s="1"/>
        <i x="62" s="1"/>
        <i x="44" s="1"/>
        <i x="7" s="1"/>
        <i x="50" s="1"/>
        <i x="21" s="1"/>
        <i x="10" s="1"/>
        <i x="14" s="1"/>
        <i x="4" s="1"/>
        <i x="37" s="1"/>
        <i x="69" s="1"/>
        <i x="56" s="1"/>
        <i x="20" s="1"/>
        <i x="65" s="1"/>
        <i x="76" s="1"/>
        <i x="52" s="1"/>
        <i x="12" s="1"/>
        <i x="35" s="1"/>
        <i x="66" s="1"/>
        <i x="67" s="1"/>
        <i x="40" s="1"/>
        <i x="71" s="1"/>
        <i x="78" s="1"/>
        <i x="33" s="1"/>
        <i x="0" s="1"/>
        <i x="41" s="1"/>
        <i x="72" s="1"/>
        <i x="55" s="1"/>
        <i x="61" s="1"/>
        <i x="75" s="1"/>
        <i x="73" s="1"/>
        <i x="25" s="1"/>
        <i x="64" s="1"/>
        <i x="13" s="1"/>
        <i x="57" s="1"/>
        <i x="63" s="1"/>
        <i x="38" s="1"/>
        <i x="22" s="1"/>
        <i x="4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CB35410E-18D1-462D-946C-DCBA303A33A8}" sourceName="Item">
  <pivotTables>
    <pivotTable tabId="3" name="PivotTable1"/>
    <pivotTable tabId="5" name="PivotTable3"/>
    <pivotTable tabId="9" name="PivotTable5"/>
    <pivotTable tabId="4" name="PivotTable2"/>
    <pivotTable tabId="6" name="PivotTable4"/>
  </pivotTables>
  <data>
    <tabular pivotCacheId="314077262">
      <items count="10">
        <i x="1" s="1"/>
        <i x="4" s="1"/>
        <i x="9" s="1"/>
        <i x="2" s="1"/>
        <i x="7" s="1"/>
        <i x="6" s="1"/>
        <i x="3" s="1"/>
        <i x="0" s="1"/>
        <i x="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BE33F3BD-837A-4287-9DB6-A61A97EC3396}" cache="Slicer_MONTHS" caption="MONTH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it" xr10:uid="{E60FE09D-B072-4112-B037-21A37F91FDE1}" cache="Slicer_Profit" caption="Profit" startItem="1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1C63BBD6-4315-484C-8441-77B52939B2CB}" cache="Slicer_MONTHS" caption="MONTHS" style="SlicerStyleOther1" rowHeight="234950"/>
  <slicer name="Region 1" xr10:uid="{F3FFA904-216E-4FF8-A60E-FFBA033EB079}" cache="Slicer_Region" caption="Region" style="SlicerStyleDark6" rowHeight="234950"/>
  <slicer name="Item 1" xr10:uid="{3FC52456-6378-4EB1-A971-05B55FF57D97}" cache="Slicer_Item" caption="Item" style="SlicerStyleOther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0E8D2-F485-464A-A0DC-F5D1774C8DF7}">
  <dimension ref="A3:I16"/>
  <sheetViews>
    <sheetView workbookViewId="0">
      <selection activeCell="I26" sqref="I26"/>
    </sheetView>
  </sheetViews>
  <sheetFormatPr defaultRowHeight="14.4" x14ac:dyDescent="0.3"/>
  <cols>
    <col min="1" max="1" width="12.6640625" bestFit="1" customWidth="1"/>
    <col min="2" max="2" width="19.21875" bestFit="1" customWidth="1"/>
  </cols>
  <sheetData>
    <row r="3" spans="1:9" x14ac:dyDescent="0.3">
      <c r="A3" s="3" t="s">
        <v>305</v>
      </c>
      <c r="B3" t="s">
        <v>307</v>
      </c>
    </row>
    <row r="4" spans="1:9" x14ac:dyDescent="0.3">
      <c r="A4" s="4" t="s">
        <v>294</v>
      </c>
      <c r="B4" s="9">
        <v>7320</v>
      </c>
      <c r="I4" t="s">
        <v>313</v>
      </c>
    </row>
    <row r="5" spans="1:9" x14ac:dyDescent="0.3">
      <c r="A5" s="4" t="s">
        <v>297</v>
      </c>
      <c r="B5" s="9">
        <v>14580</v>
      </c>
    </row>
    <row r="6" spans="1:9" x14ac:dyDescent="0.3">
      <c r="A6" s="4" t="s">
        <v>302</v>
      </c>
      <c r="B6" s="9">
        <v>2220</v>
      </c>
    </row>
    <row r="7" spans="1:9" x14ac:dyDescent="0.3">
      <c r="A7" s="4" t="s">
        <v>295</v>
      </c>
      <c r="B7" s="9">
        <v>7000</v>
      </c>
    </row>
    <row r="8" spans="1:9" x14ac:dyDescent="0.3">
      <c r="A8" s="4" t="s">
        <v>300</v>
      </c>
      <c r="B8" s="9">
        <v>7930</v>
      </c>
    </row>
    <row r="9" spans="1:9" x14ac:dyDescent="0.3">
      <c r="A9" s="4" t="s">
        <v>299</v>
      </c>
      <c r="B9" s="9">
        <v>4050</v>
      </c>
    </row>
    <row r="10" spans="1:9" x14ac:dyDescent="0.3">
      <c r="A10" s="4" t="s">
        <v>296</v>
      </c>
      <c r="B10" s="9">
        <v>5840</v>
      </c>
    </row>
    <row r="11" spans="1:9" x14ac:dyDescent="0.3">
      <c r="A11" s="4" t="s">
        <v>293</v>
      </c>
      <c r="B11" s="9">
        <v>12980</v>
      </c>
    </row>
    <row r="12" spans="1:9" x14ac:dyDescent="0.3">
      <c r="A12" s="4" t="s">
        <v>301</v>
      </c>
      <c r="B12" s="9">
        <v>14000</v>
      </c>
    </row>
    <row r="13" spans="1:9" x14ac:dyDescent="0.3">
      <c r="A13" s="4" t="s">
        <v>298</v>
      </c>
      <c r="B13" s="9">
        <v>7500</v>
      </c>
    </row>
    <row r="14" spans="1:9" x14ac:dyDescent="0.3">
      <c r="A14" s="4" t="s">
        <v>306</v>
      </c>
      <c r="B14" s="9">
        <v>83420</v>
      </c>
    </row>
    <row r="16" spans="1:9" x14ac:dyDescent="0.3">
      <c r="B16">
        <f>GETPIVOTDATA("Total Amount",$A$3)</f>
        <v>83420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EB9C4-6A75-48F6-857D-0F450BC51CB5}">
  <dimension ref="A3:B9"/>
  <sheetViews>
    <sheetView workbookViewId="0">
      <selection activeCell="I22" sqref="I22"/>
    </sheetView>
  </sheetViews>
  <sheetFormatPr defaultRowHeight="14.4" x14ac:dyDescent="0.3"/>
  <cols>
    <col min="1" max="1" width="12.5546875" bestFit="1" customWidth="1"/>
    <col min="2" max="2" width="12.109375" bestFit="1" customWidth="1"/>
  </cols>
  <sheetData>
    <row r="3" spans="1:2" x14ac:dyDescent="0.3">
      <c r="A3" s="3" t="s">
        <v>305</v>
      </c>
      <c r="B3" t="s">
        <v>308</v>
      </c>
    </row>
    <row r="4" spans="1:2" x14ac:dyDescent="0.3">
      <c r="A4" s="4" t="s">
        <v>292</v>
      </c>
      <c r="B4" s="9">
        <v>3232.75</v>
      </c>
    </row>
    <row r="5" spans="1:2" x14ac:dyDescent="0.3">
      <c r="A5" s="4" t="s">
        <v>291</v>
      </c>
      <c r="B5" s="9">
        <v>3528.25</v>
      </c>
    </row>
    <row r="6" spans="1:2" x14ac:dyDescent="0.3">
      <c r="A6" s="4" t="s">
        <v>290</v>
      </c>
      <c r="B6" s="9">
        <v>3623.25</v>
      </c>
    </row>
    <row r="7" spans="1:2" x14ac:dyDescent="0.3">
      <c r="A7" s="4" t="s">
        <v>289</v>
      </c>
      <c r="B7" s="9">
        <v>4174.5</v>
      </c>
    </row>
    <row r="8" spans="1:2" x14ac:dyDescent="0.3">
      <c r="A8" s="4" t="s">
        <v>306</v>
      </c>
      <c r="B8" s="9">
        <v>14558.75</v>
      </c>
    </row>
    <row r="9" spans="1:2" x14ac:dyDescent="0.3">
      <c r="B9">
        <f>GETPIVOTDATA("Profit",$A$3)</f>
        <v>14558.75</v>
      </c>
    </row>
  </sheetData>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4A6E75D0-B36D-4000-B4E9-C2D1C5202FED}">
            <xm:f>NOT(ISERROR(SEARCH($A$7,L17)))</xm:f>
            <xm:f>$A$7</xm:f>
            <x14:dxf>
              <font>
                <color rgb="FF9C0006"/>
              </font>
              <fill>
                <patternFill>
                  <bgColor rgb="FFFFC7CE"/>
                </patternFill>
              </fill>
            </x14:dxf>
          </x14:cfRule>
          <xm:sqref>L17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E5E84-62D7-4AD5-8666-245C139C8F93}">
  <dimension ref="A3:B10"/>
  <sheetViews>
    <sheetView workbookViewId="0">
      <selection activeCell="B7" sqref="B7"/>
    </sheetView>
  </sheetViews>
  <sheetFormatPr defaultRowHeight="14.4" x14ac:dyDescent="0.3"/>
  <cols>
    <col min="1" max="1" width="12.5546875" bestFit="1" customWidth="1"/>
    <col min="2" max="2" width="12.109375" bestFit="1" customWidth="1"/>
    <col min="3" max="3" width="15.21875" bestFit="1" customWidth="1"/>
  </cols>
  <sheetData>
    <row r="3" spans="1:2" x14ac:dyDescent="0.3">
      <c r="A3" s="3" t="s">
        <v>305</v>
      </c>
      <c r="B3" t="s">
        <v>308</v>
      </c>
    </row>
    <row r="4" spans="1:2" x14ac:dyDescent="0.3">
      <c r="A4" s="4">
        <v>2025</v>
      </c>
      <c r="B4" s="9">
        <v>14558.75</v>
      </c>
    </row>
    <row r="5" spans="1:2" x14ac:dyDescent="0.3">
      <c r="A5" s="5">
        <v>1</v>
      </c>
      <c r="B5" s="9">
        <v>7225</v>
      </c>
    </row>
    <row r="6" spans="1:2" x14ac:dyDescent="0.3">
      <c r="A6" s="5">
        <v>2</v>
      </c>
      <c r="B6" s="9">
        <v>7066.75</v>
      </c>
    </row>
    <row r="7" spans="1:2" x14ac:dyDescent="0.3">
      <c r="A7" s="5">
        <v>3</v>
      </c>
      <c r="B7" s="9">
        <v>267</v>
      </c>
    </row>
    <row r="8" spans="1:2" x14ac:dyDescent="0.3">
      <c r="A8" s="4" t="s">
        <v>306</v>
      </c>
      <c r="B8" s="9">
        <v>14558.75</v>
      </c>
    </row>
    <row r="10" spans="1:2" x14ac:dyDescent="0.3">
      <c r="B10">
        <f>GETPIVOTDATA("Profit",$A$3)</f>
        <v>14558.75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4EBEE-1F2B-49D4-9827-F63E6D499544}">
  <dimension ref="A3:B17"/>
  <sheetViews>
    <sheetView topLeftCell="A2" workbookViewId="0">
      <selection activeCell="B33" sqref="B33"/>
    </sheetView>
  </sheetViews>
  <sheetFormatPr defaultRowHeight="14.4" x14ac:dyDescent="0.3"/>
  <cols>
    <col min="1" max="1" width="14.33203125" bestFit="1" customWidth="1"/>
    <col min="2" max="2" width="12.109375" bestFit="1" customWidth="1"/>
  </cols>
  <sheetData>
    <row r="3" spans="1:2" x14ac:dyDescent="0.3">
      <c r="A3" s="3" t="s">
        <v>305</v>
      </c>
      <c r="B3" t="s">
        <v>308</v>
      </c>
    </row>
    <row r="4" spans="1:2" x14ac:dyDescent="0.3">
      <c r="A4" s="4" t="s">
        <v>270</v>
      </c>
      <c r="B4" s="9">
        <v>1328.25</v>
      </c>
    </row>
    <row r="5" spans="1:2" x14ac:dyDescent="0.3">
      <c r="A5" s="4" t="s">
        <v>288</v>
      </c>
      <c r="B5" s="9">
        <v>1222.25</v>
      </c>
    </row>
    <row r="6" spans="1:2" x14ac:dyDescent="0.3">
      <c r="A6" s="4" t="s">
        <v>271</v>
      </c>
      <c r="B6" s="9">
        <v>1188.75</v>
      </c>
    </row>
    <row r="7" spans="1:2" x14ac:dyDescent="0.3">
      <c r="A7" s="4" t="s">
        <v>281</v>
      </c>
      <c r="B7" s="9">
        <v>1012.25</v>
      </c>
    </row>
    <row r="8" spans="1:2" x14ac:dyDescent="0.3">
      <c r="A8" s="4" t="s">
        <v>282</v>
      </c>
      <c r="B8" s="9">
        <v>917</v>
      </c>
    </row>
    <row r="9" spans="1:2" x14ac:dyDescent="0.3">
      <c r="A9" s="4" t="s">
        <v>283</v>
      </c>
      <c r="B9" s="9">
        <v>849</v>
      </c>
    </row>
    <row r="10" spans="1:2" x14ac:dyDescent="0.3">
      <c r="A10" s="4" t="s">
        <v>286</v>
      </c>
      <c r="B10" s="9">
        <v>796.25</v>
      </c>
    </row>
    <row r="11" spans="1:2" x14ac:dyDescent="0.3">
      <c r="A11" s="4" t="s">
        <v>272</v>
      </c>
      <c r="B11" s="9">
        <v>748.25</v>
      </c>
    </row>
    <row r="12" spans="1:2" x14ac:dyDescent="0.3">
      <c r="A12" s="4" t="s">
        <v>276</v>
      </c>
      <c r="B12" s="9">
        <v>715.25</v>
      </c>
    </row>
    <row r="13" spans="1:2" x14ac:dyDescent="0.3">
      <c r="A13" s="4" t="s">
        <v>279</v>
      </c>
      <c r="B13" s="9">
        <v>700</v>
      </c>
    </row>
    <row r="14" spans="1:2" x14ac:dyDescent="0.3">
      <c r="A14" s="4" t="s">
        <v>269</v>
      </c>
      <c r="B14" s="9">
        <v>693</v>
      </c>
    </row>
    <row r="15" spans="1:2" x14ac:dyDescent="0.3">
      <c r="A15" s="4" t="s">
        <v>306</v>
      </c>
      <c r="B15" s="9">
        <v>10170.25</v>
      </c>
    </row>
    <row r="17" spans="2:2" x14ac:dyDescent="0.3">
      <c r="B17">
        <f>GETPIVOTDATA("Profit",$A$3)</f>
        <v>10170.25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9FF99-9609-470A-8FE3-017376921FF7}">
  <dimension ref="A3:B15"/>
  <sheetViews>
    <sheetView workbookViewId="0">
      <selection activeCell="D28" sqref="D28"/>
    </sheetView>
  </sheetViews>
  <sheetFormatPr defaultRowHeight="14.4" x14ac:dyDescent="0.3"/>
  <cols>
    <col min="1" max="1" width="12.6640625" bestFit="1" customWidth="1"/>
    <col min="2" max="2" width="12.109375" bestFit="1" customWidth="1"/>
    <col min="3" max="3" width="15.21875" bestFit="1" customWidth="1"/>
  </cols>
  <sheetData>
    <row r="3" spans="1:2" x14ac:dyDescent="0.3">
      <c r="A3" s="3" t="s">
        <v>305</v>
      </c>
      <c r="B3" t="s">
        <v>308</v>
      </c>
    </row>
    <row r="4" spans="1:2" x14ac:dyDescent="0.3">
      <c r="A4" s="4" t="s">
        <v>302</v>
      </c>
      <c r="B4" s="9">
        <v>415.5</v>
      </c>
    </row>
    <row r="5" spans="1:2" x14ac:dyDescent="0.3">
      <c r="A5" s="4" t="s">
        <v>299</v>
      </c>
      <c r="B5" s="9">
        <v>722.25</v>
      </c>
    </row>
    <row r="6" spans="1:2" x14ac:dyDescent="0.3">
      <c r="A6" s="4" t="s">
        <v>296</v>
      </c>
      <c r="B6" s="9">
        <v>1010</v>
      </c>
    </row>
    <row r="7" spans="1:2" x14ac:dyDescent="0.3">
      <c r="A7" s="4" t="s">
        <v>295</v>
      </c>
      <c r="B7" s="9">
        <v>1217.5</v>
      </c>
    </row>
    <row r="8" spans="1:2" x14ac:dyDescent="0.3">
      <c r="A8" s="4" t="s">
        <v>294</v>
      </c>
      <c r="B8" s="9">
        <v>1221</v>
      </c>
    </row>
    <row r="9" spans="1:2" x14ac:dyDescent="0.3">
      <c r="A9" s="4" t="s">
        <v>298</v>
      </c>
      <c r="B9" s="9">
        <v>1256.25</v>
      </c>
    </row>
    <row r="10" spans="1:2" x14ac:dyDescent="0.3">
      <c r="A10" s="4" t="s">
        <v>300</v>
      </c>
      <c r="B10" s="9">
        <v>1433.25</v>
      </c>
    </row>
    <row r="11" spans="1:2" x14ac:dyDescent="0.3">
      <c r="A11" s="4" t="s">
        <v>293</v>
      </c>
      <c r="B11" s="9">
        <v>2145</v>
      </c>
    </row>
    <row r="12" spans="1:2" x14ac:dyDescent="0.3">
      <c r="A12" s="4" t="s">
        <v>301</v>
      </c>
      <c r="B12" s="9">
        <v>2487.5</v>
      </c>
    </row>
    <row r="13" spans="1:2" x14ac:dyDescent="0.3">
      <c r="A13" s="4" t="s">
        <v>297</v>
      </c>
      <c r="B13" s="9">
        <v>2650.5</v>
      </c>
    </row>
    <row r="14" spans="1:2" x14ac:dyDescent="0.3">
      <c r="A14" s="4" t="s">
        <v>306</v>
      </c>
      <c r="B14" s="9">
        <v>14558.75</v>
      </c>
    </row>
    <row r="15" spans="1:2" x14ac:dyDescent="0.3">
      <c r="B15">
        <f>GETPIVOTDATA("Profit",$A$3)</f>
        <v>14558.75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3CF8-0D37-4ECF-B810-CE209590F22E}">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1"/>
  <sheetViews>
    <sheetView workbookViewId="0">
      <selection sqref="A1:L201"/>
    </sheetView>
  </sheetViews>
  <sheetFormatPr defaultRowHeight="14.4" x14ac:dyDescent="0.3"/>
  <cols>
    <col min="13" max="13" width="30.109375" customWidth="1"/>
  </cols>
  <sheetData>
    <row r="1" spans="1:14" x14ac:dyDescent="0.3">
      <c r="A1" s="1" t="s">
        <v>0</v>
      </c>
      <c r="B1" s="1" t="s">
        <v>1</v>
      </c>
      <c r="C1" s="1" t="s">
        <v>2</v>
      </c>
      <c r="D1" s="1" t="s">
        <v>3</v>
      </c>
      <c r="E1" s="1" t="s">
        <v>4</v>
      </c>
      <c r="F1" s="1" t="s">
        <v>5</v>
      </c>
      <c r="G1" s="1" t="s">
        <v>6</v>
      </c>
      <c r="H1" s="1" t="s">
        <v>7</v>
      </c>
      <c r="I1" s="1" t="s">
        <v>8</v>
      </c>
      <c r="J1" s="1" t="s">
        <v>9</v>
      </c>
      <c r="K1" s="2" t="s">
        <v>303</v>
      </c>
      <c r="L1" s="2" t="s">
        <v>304</v>
      </c>
      <c r="M1" s="2"/>
    </row>
    <row r="2" spans="1:14" x14ac:dyDescent="0.3">
      <c r="A2" t="s">
        <v>10</v>
      </c>
      <c r="B2" t="s">
        <v>210</v>
      </c>
      <c r="C2" t="s">
        <v>269</v>
      </c>
      <c r="D2" t="s">
        <v>289</v>
      </c>
      <c r="E2" t="s">
        <v>293</v>
      </c>
      <c r="F2">
        <v>3</v>
      </c>
      <c r="G2">
        <v>220</v>
      </c>
      <c r="H2">
        <v>660</v>
      </c>
      <c r="I2">
        <v>0</v>
      </c>
      <c r="J2">
        <v>132</v>
      </c>
      <c r="K2">
        <f t="shared" ref="K2:K33" si="0">YEAR(B2)</f>
        <v>2025</v>
      </c>
      <c r="L2">
        <f t="shared" ref="L2:L33" si="1">MONTH(B2)</f>
        <v>2</v>
      </c>
      <c r="N2" t="str">
        <f>SUBSTITUTE(M2,"excel","sql")</f>
        <v/>
      </c>
    </row>
    <row r="3" spans="1:14" x14ac:dyDescent="0.3">
      <c r="A3" t="s">
        <v>11</v>
      </c>
      <c r="B3" t="s">
        <v>211</v>
      </c>
      <c r="C3" t="s">
        <v>270</v>
      </c>
      <c r="D3" t="s">
        <v>290</v>
      </c>
      <c r="E3" t="s">
        <v>294</v>
      </c>
      <c r="F3">
        <v>3</v>
      </c>
      <c r="G3">
        <v>120</v>
      </c>
      <c r="H3">
        <v>360</v>
      </c>
      <c r="I3">
        <v>0.05</v>
      </c>
      <c r="J3">
        <v>63</v>
      </c>
      <c r="K3">
        <f t="shared" si="0"/>
        <v>2025</v>
      </c>
      <c r="L3">
        <f t="shared" si="1"/>
        <v>3</v>
      </c>
    </row>
    <row r="4" spans="1:14" x14ac:dyDescent="0.3">
      <c r="A4" t="s">
        <v>12</v>
      </c>
      <c r="B4" t="s">
        <v>212</v>
      </c>
      <c r="C4" t="s">
        <v>271</v>
      </c>
      <c r="D4" t="s">
        <v>289</v>
      </c>
      <c r="E4" t="s">
        <v>295</v>
      </c>
      <c r="F4">
        <v>1</v>
      </c>
      <c r="G4">
        <v>100</v>
      </c>
      <c r="H4">
        <v>100</v>
      </c>
      <c r="I4">
        <v>0.05</v>
      </c>
      <c r="J4">
        <v>17.5</v>
      </c>
      <c r="K4">
        <f t="shared" si="0"/>
        <v>2025</v>
      </c>
      <c r="L4">
        <f t="shared" si="1"/>
        <v>2</v>
      </c>
    </row>
    <row r="5" spans="1:14" x14ac:dyDescent="0.3">
      <c r="A5" t="s">
        <v>13</v>
      </c>
      <c r="B5" t="s">
        <v>213</v>
      </c>
      <c r="C5" t="s">
        <v>272</v>
      </c>
      <c r="D5" t="s">
        <v>290</v>
      </c>
      <c r="E5" t="s">
        <v>295</v>
      </c>
      <c r="F5">
        <v>3</v>
      </c>
      <c r="G5">
        <v>100</v>
      </c>
      <c r="H5">
        <v>300</v>
      </c>
      <c r="I5">
        <v>0.05</v>
      </c>
      <c r="J5">
        <v>52.5</v>
      </c>
      <c r="K5">
        <f t="shared" si="0"/>
        <v>2025</v>
      </c>
      <c r="L5">
        <f t="shared" si="1"/>
        <v>1</v>
      </c>
    </row>
    <row r="6" spans="1:14" x14ac:dyDescent="0.3">
      <c r="A6" t="s">
        <v>14</v>
      </c>
      <c r="B6" t="s">
        <v>214</v>
      </c>
      <c r="C6" t="s">
        <v>273</v>
      </c>
      <c r="D6" t="s">
        <v>291</v>
      </c>
      <c r="E6" t="s">
        <v>296</v>
      </c>
      <c r="F6">
        <v>5</v>
      </c>
      <c r="G6">
        <v>80</v>
      </c>
      <c r="H6">
        <v>400</v>
      </c>
      <c r="I6">
        <v>0</v>
      </c>
      <c r="J6">
        <v>80</v>
      </c>
      <c r="K6">
        <f t="shared" si="0"/>
        <v>2025</v>
      </c>
      <c r="L6">
        <f t="shared" si="1"/>
        <v>1</v>
      </c>
    </row>
    <row r="7" spans="1:14" x14ac:dyDescent="0.3">
      <c r="A7" t="s">
        <v>15</v>
      </c>
      <c r="B7" t="s">
        <v>215</v>
      </c>
      <c r="C7" t="s">
        <v>274</v>
      </c>
      <c r="D7" t="s">
        <v>291</v>
      </c>
      <c r="E7" t="s">
        <v>294</v>
      </c>
      <c r="F7">
        <v>2</v>
      </c>
      <c r="G7">
        <v>120</v>
      </c>
      <c r="H7">
        <v>240</v>
      </c>
      <c r="I7">
        <v>0.1</v>
      </c>
      <c r="J7">
        <v>36</v>
      </c>
      <c r="K7">
        <f t="shared" si="0"/>
        <v>2025</v>
      </c>
      <c r="L7">
        <f t="shared" si="1"/>
        <v>1</v>
      </c>
    </row>
    <row r="8" spans="1:14" x14ac:dyDescent="0.3">
      <c r="A8" t="s">
        <v>16</v>
      </c>
      <c r="B8" t="s">
        <v>216</v>
      </c>
      <c r="C8" t="s">
        <v>275</v>
      </c>
      <c r="D8" t="s">
        <v>291</v>
      </c>
      <c r="E8" t="s">
        <v>296</v>
      </c>
      <c r="F8">
        <v>1</v>
      </c>
      <c r="G8">
        <v>80</v>
      </c>
      <c r="H8">
        <v>80</v>
      </c>
      <c r="I8">
        <v>0.1</v>
      </c>
      <c r="J8">
        <v>12</v>
      </c>
      <c r="K8">
        <f t="shared" si="0"/>
        <v>2025</v>
      </c>
      <c r="L8">
        <f t="shared" si="1"/>
        <v>2</v>
      </c>
    </row>
    <row r="9" spans="1:14" x14ac:dyDescent="0.3">
      <c r="A9" t="s">
        <v>17</v>
      </c>
      <c r="B9" t="s">
        <v>217</v>
      </c>
      <c r="C9" t="s">
        <v>276</v>
      </c>
      <c r="D9" t="s">
        <v>290</v>
      </c>
      <c r="E9" t="s">
        <v>297</v>
      </c>
      <c r="F9">
        <v>2</v>
      </c>
      <c r="G9">
        <v>180</v>
      </c>
      <c r="H9">
        <v>360</v>
      </c>
      <c r="I9">
        <v>0</v>
      </c>
      <c r="J9">
        <v>72</v>
      </c>
      <c r="K9">
        <f t="shared" si="0"/>
        <v>2025</v>
      </c>
      <c r="L9">
        <f t="shared" si="1"/>
        <v>1</v>
      </c>
    </row>
    <row r="10" spans="1:14" x14ac:dyDescent="0.3">
      <c r="A10" t="s">
        <v>18</v>
      </c>
      <c r="B10" t="s">
        <v>218</v>
      </c>
      <c r="C10" t="s">
        <v>277</v>
      </c>
      <c r="D10" t="s">
        <v>289</v>
      </c>
      <c r="E10" t="s">
        <v>298</v>
      </c>
      <c r="F10">
        <v>2</v>
      </c>
      <c r="G10">
        <v>150</v>
      </c>
      <c r="H10">
        <v>300</v>
      </c>
      <c r="I10">
        <v>0.05</v>
      </c>
      <c r="J10">
        <v>52.5</v>
      </c>
      <c r="K10">
        <f t="shared" si="0"/>
        <v>2025</v>
      </c>
      <c r="L10">
        <f t="shared" si="1"/>
        <v>1</v>
      </c>
      <c r="N10" t="str">
        <f>REPLACE(M10,3,3," ")</f>
        <v xml:space="preserve"> </v>
      </c>
    </row>
    <row r="11" spans="1:14" x14ac:dyDescent="0.3">
      <c r="A11" t="s">
        <v>19</v>
      </c>
      <c r="B11" t="s">
        <v>216</v>
      </c>
      <c r="C11" t="s">
        <v>276</v>
      </c>
      <c r="D11" t="s">
        <v>290</v>
      </c>
      <c r="E11" t="s">
        <v>299</v>
      </c>
      <c r="F11">
        <v>4</v>
      </c>
      <c r="G11">
        <v>90</v>
      </c>
      <c r="H11">
        <v>360</v>
      </c>
      <c r="I11">
        <v>0.1</v>
      </c>
      <c r="J11">
        <v>54</v>
      </c>
      <c r="K11">
        <f t="shared" si="0"/>
        <v>2025</v>
      </c>
      <c r="L11">
        <f t="shared" si="1"/>
        <v>2</v>
      </c>
    </row>
    <row r="12" spans="1:14" x14ac:dyDescent="0.3">
      <c r="A12" t="s">
        <v>20</v>
      </c>
      <c r="B12" t="s">
        <v>219</v>
      </c>
      <c r="C12" t="s">
        <v>278</v>
      </c>
      <c r="D12" t="s">
        <v>289</v>
      </c>
      <c r="E12" t="s">
        <v>299</v>
      </c>
      <c r="F12">
        <v>4</v>
      </c>
      <c r="G12">
        <v>90</v>
      </c>
      <c r="H12">
        <v>360</v>
      </c>
      <c r="I12">
        <v>0.05</v>
      </c>
      <c r="J12">
        <v>63</v>
      </c>
      <c r="K12">
        <f t="shared" si="0"/>
        <v>2025</v>
      </c>
      <c r="L12">
        <f t="shared" si="1"/>
        <v>2</v>
      </c>
    </row>
    <row r="13" spans="1:14" x14ac:dyDescent="0.3">
      <c r="A13" t="s">
        <v>21</v>
      </c>
      <c r="B13" t="s">
        <v>220</v>
      </c>
      <c r="C13" t="s">
        <v>279</v>
      </c>
      <c r="D13" t="s">
        <v>289</v>
      </c>
      <c r="E13" t="s">
        <v>295</v>
      </c>
      <c r="F13">
        <v>2</v>
      </c>
      <c r="G13">
        <v>100</v>
      </c>
      <c r="H13">
        <v>200</v>
      </c>
      <c r="I13">
        <v>0.1</v>
      </c>
      <c r="J13">
        <v>30</v>
      </c>
      <c r="K13">
        <f t="shared" si="0"/>
        <v>2025</v>
      </c>
      <c r="L13">
        <f t="shared" si="1"/>
        <v>1</v>
      </c>
    </row>
    <row r="14" spans="1:14" x14ac:dyDescent="0.3">
      <c r="A14" t="s">
        <v>22</v>
      </c>
      <c r="B14" t="s">
        <v>221</v>
      </c>
      <c r="C14" t="s">
        <v>280</v>
      </c>
      <c r="D14" t="s">
        <v>291</v>
      </c>
      <c r="E14" t="s">
        <v>300</v>
      </c>
      <c r="F14">
        <v>4</v>
      </c>
      <c r="G14">
        <v>130</v>
      </c>
      <c r="H14">
        <v>520</v>
      </c>
      <c r="I14">
        <v>0.1</v>
      </c>
      <c r="J14">
        <v>78</v>
      </c>
      <c r="K14">
        <f t="shared" si="0"/>
        <v>2025</v>
      </c>
      <c r="L14">
        <f t="shared" si="1"/>
        <v>2</v>
      </c>
    </row>
    <row r="15" spans="1:14" x14ac:dyDescent="0.3">
      <c r="A15" t="s">
        <v>23</v>
      </c>
      <c r="B15" t="s">
        <v>222</v>
      </c>
      <c r="C15" t="s">
        <v>281</v>
      </c>
      <c r="D15" t="s">
        <v>289</v>
      </c>
      <c r="E15" t="s">
        <v>296</v>
      </c>
      <c r="F15">
        <v>1</v>
      </c>
      <c r="G15">
        <v>80</v>
      </c>
      <c r="H15">
        <v>80</v>
      </c>
      <c r="I15">
        <v>0</v>
      </c>
      <c r="J15">
        <v>16</v>
      </c>
      <c r="K15">
        <f t="shared" si="0"/>
        <v>2025</v>
      </c>
      <c r="L15">
        <f t="shared" si="1"/>
        <v>1</v>
      </c>
    </row>
    <row r="16" spans="1:14" x14ac:dyDescent="0.3">
      <c r="A16" t="s">
        <v>24</v>
      </c>
      <c r="B16" t="s">
        <v>223</v>
      </c>
      <c r="C16" t="s">
        <v>282</v>
      </c>
      <c r="D16" t="s">
        <v>289</v>
      </c>
      <c r="E16" t="s">
        <v>300</v>
      </c>
      <c r="F16">
        <v>4</v>
      </c>
      <c r="G16">
        <v>130</v>
      </c>
      <c r="H16">
        <v>520</v>
      </c>
      <c r="I16">
        <v>0</v>
      </c>
      <c r="J16">
        <v>104</v>
      </c>
      <c r="K16">
        <f t="shared" si="0"/>
        <v>2025</v>
      </c>
      <c r="L16">
        <f t="shared" si="1"/>
        <v>1</v>
      </c>
    </row>
    <row r="17" spans="1:12" x14ac:dyDescent="0.3">
      <c r="A17" t="s">
        <v>25</v>
      </c>
      <c r="B17" t="s">
        <v>224</v>
      </c>
      <c r="C17" t="s">
        <v>283</v>
      </c>
      <c r="D17" t="s">
        <v>291</v>
      </c>
      <c r="E17" t="s">
        <v>297</v>
      </c>
      <c r="F17">
        <v>5</v>
      </c>
      <c r="G17">
        <v>180</v>
      </c>
      <c r="H17">
        <v>900</v>
      </c>
      <c r="I17">
        <v>0</v>
      </c>
      <c r="J17">
        <v>180</v>
      </c>
      <c r="K17">
        <f t="shared" si="0"/>
        <v>2025</v>
      </c>
      <c r="L17">
        <f t="shared" si="1"/>
        <v>2</v>
      </c>
    </row>
    <row r="18" spans="1:12" x14ac:dyDescent="0.3">
      <c r="A18" t="s">
        <v>26</v>
      </c>
      <c r="B18" t="s">
        <v>214</v>
      </c>
      <c r="C18" t="s">
        <v>284</v>
      </c>
      <c r="D18" t="s">
        <v>292</v>
      </c>
      <c r="E18" t="s">
        <v>298</v>
      </c>
      <c r="F18">
        <v>3</v>
      </c>
      <c r="G18">
        <v>150</v>
      </c>
      <c r="H18">
        <v>450</v>
      </c>
      <c r="I18">
        <v>0.05</v>
      </c>
      <c r="J18">
        <v>78.75</v>
      </c>
      <c r="K18">
        <f t="shared" si="0"/>
        <v>2025</v>
      </c>
      <c r="L18">
        <f t="shared" si="1"/>
        <v>1</v>
      </c>
    </row>
    <row r="19" spans="1:12" x14ac:dyDescent="0.3">
      <c r="A19" t="s">
        <v>27</v>
      </c>
      <c r="B19" t="s">
        <v>225</v>
      </c>
      <c r="C19" t="s">
        <v>275</v>
      </c>
      <c r="D19" t="s">
        <v>290</v>
      </c>
      <c r="E19" t="s">
        <v>294</v>
      </c>
      <c r="F19">
        <v>4</v>
      </c>
      <c r="G19">
        <v>120</v>
      </c>
      <c r="H19">
        <v>480</v>
      </c>
      <c r="I19">
        <v>0.1</v>
      </c>
      <c r="J19">
        <v>72</v>
      </c>
      <c r="K19">
        <f t="shared" si="0"/>
        <v>2025</v>
      </c>
      <c r="L19">
        <f t="shared" si="1"/>
        <v>2</v>
      </c>
    </row>
    <row r="20" spans="1:12" x14ac:dyDescent="0.3">
      <c r="A20" t="s">
        <v>28</v>
      </c>
      <c r="B20" t="s">
        <v>226</v>
      </c>
      <c r="C20" t="s">
        <v>275</v>
      </c>
      <c r="D20" t="s">
        <v>289</v>
      </c>
      <c r="E20" t="s">
        <v>299</v>
      </c>
      <c r="F20">
        <v>2</v>
      </c>
      <c r="G20">
        <v>90</v>
      </c>
      <c r="H20">
        <v>180</v>
      </c>
      <c r="I20">
        <v>0.05</v>
      </c>
      <c r="J20">
        <v>31.5</v>
      </c>
      <c r="K20">
        <f t="shared" si="0"/>
        <v>2025</v>
      </c>
      <c r="L20">
        <f t="shared" si="1"/>
        <v>2</v>
      </c>
    </row>
    <row r="21" spans="1:12" x14ac:dyDescent="0.3">
      <c r="A21" t="s">
        <v>29</v>
      </c>
      <c r="B21" t="s">
        <v>217</v>
      </c>
      <c r="C21" t="s">
        <v>269</v>
      </c>
      <c r="D21" t="s">
        <v>292</v>
      </c>
      <c r="E21" t="s">
        <v>299</v>
      </c>
      <c r="F21">
        <v>1</v>
      </c>
      <c r="G21">
        <v>90</v>
      </c>
      <c r="H21">
        <v>90</v>
      </c>
      <c r="I21">
        <v>0.05</v>
      </c>
      <c r="J21">
        <v>15.75</v>
      </c>
      <c r="K21">
        <f t="shared" si="0"/>
        <v>2025</v>
      </c>
      <c r="L21">
        <f t="shared" si="1"/>
        <v>1</v>
      </c>
    </row>
    <row r="22" spans="1:12" x14ac:dyDescent="0.3">
      <c r="A22" t="s">
        <v>30</v>
      </c>
      <c r="B22" t="s">
        <v>225</v>
      </c>
      <c r="C22" t="s">
        <v>285</v>
      </c>
      <c r="D22" t="s">
        <v>289</v>
      </c>
      <c r="E22" t="s">
        <v>298</v>
      </c>
      <c r="F22">
        <v>2</v>
      </c>
      <c r="G22">
        <v>150</v>
      </c>
      <c r="H22">
        <v>300</v>
      </c>
      <c r="I22">
        <v>0.05</v>
      </c>
      <c r="J22">
        <v>52.5</v>
      </c>
      <c r="K22">
        <f t="shared" si="0"/>
        <v>2025</v>
      </c>
      <c r="L22">
        <f t="shared" si="1"/>
        <v>2</v>
      </c>
    </row>
    <row r="23" spans="1:12" x14ac:dyDescent="0.3">
      <c r="A23" t="s">
        <v>31</v>
      </c>
      <c r="B23" t="s">
        <v>227</v>
      </c>
      <c r="C23" t="s">
        <v>272</v>
      </c>
      <c r="D23" t="s">
        <v>290</v>
      </c>
      <c r="E23" t="s">
        <v>301</v>
      </c>
      <c r="F23">
        <v>1</v>
      </c>
      <c r="G23">
        <v>250</v>
      </c>
      <c r="H23">
        <v>250</v>
      </c>
      <c r="I23">
        <v>0</v>
      </c>
      <c r="J23">
        <v>50</v>
      </c>
      <c r="K23">
        <f t="shared" si="0"/>
        <v>2025</v>
      </c>
      <c r="L23">
        <f t="shared" si="1"/>
        <v>2</v>
      </c>
    </row>
    <row r="24" spans="1:12" x14ac:dyDescent="0.3">
      <c r="A24" t="s">
        <v>32</v>
      </c>
      <c r="B24" t="s">
        <v>228</v>
      </c>
      <c r="C24" t="s">
        <v>273</v>
      </c>
      <c r="D24" t="s">
        <v>291</v>
      </c>
      <c r="E24" t="s">
        <v>296</v>
      </c>
      <c r="F24">
        <v>4</v>
      </c>
      <c r="G24">
        <v>80</v>
      </c>
      <c r="H24">
        <v>320</v>
      </c>
      <c r="I24">
        <v>0</v>
      </c>
      <c r="J24">
        <v>64</v>
      </c>
      <c r="K24">
        <f t="shared" si="0"/>
        <v>2025</v>
      </c>
      <c r="L24">
        <f t="shared" si="1"/>
        <v>1</v>
      </c>
    </row>
    <row r="25" spans="1:12" x14ac:dyDescent="0.3">
      <c r="A25" t="s">
        <v>33</v>
      </c>
      <c r="B25" t="s">
        <v>210</v>
      </c>
      <c r="C25" t="s">
        <v>281</v>
      </c>
      <c r="D25" t="s">
        <v>289</v>
      </c>
      <c r="E25" t="s">
        <v>296</v>
      </c>
      <c r="F25">
        <v>3</v>
      </c>
      <c r="G25">
        <v>80</v>
      </c>
      <c r="H25">
        <v>240</v>
      </c>
      <c r="I25">
        <v>0.05</v>
      </c>
      <c r="J25">
        <v>42</v>
      </c>
      <c r="K25">
        <f t="shared" si="0"/>
        <v>2025</v>
      </c>
      <c r="L25">
        <f t="shared" si="1"/>
        <v>2</v>
      </c>
    </row>
    <row r="26" spans="1:12" x14ac:dyDescent="0.3">
      <c r="A26" t="s">
        <v>34</v>
      </c>
      <c r="B26" t="s">
        <v>229</v>
      </c>
      <c r="C26" t="s">
        <v>282</v>
      </c>
      <c r="D26" t="s">
        <v>290</v>
      </c>
      <c r="E26" t="s">
        <v>299</v>
      </c>
      <c r="F26">
        <v>5</v>
      </c>
      <c r="G26">
        <v>90</v>
      </c>
      <c r="H26">
        <v>450</v>
      </c>
      <c r="I26">
        <v>0</v>
      </c>
      <c r="J26">
        <v>90</v>
      </c>
      <c r="K26">
        <f t="shared" si="0"/>
        <v>2025</v>
      </c>
      <c r="L26">
        <f t="shared" si="1"/>
        <v>2</v>
      </c>
    </row>
    <row r="27" spans="1:12" x14ac:dyDescent="0.3">
      <c r="A27" t="s">
        <v>35</v>
      </c>
      <c r="B27" t="s">
        <v>224</v>
      </c>
      <c r="C27" t="s">
        <v>285</v>
      </c>
      <c r="D27" t="s">
        <v>292</v>
      </c>
      <c r="E27" t="s">
        <v>294</v>
      </c>
      <c r="F27">
        <v>2</v>
      </c>
      <c r="G27">
        <v>120</v>
      </c>
      <c r="H27">
        <v>240</v>
      </c>
      <c r="I27">
        <v>0.1</v>
      </c>
      <c r="J27">
        <v>36</v>
      </c>
      <c r="K27">
        <f t="shared" si="0"/>
        <v>2025</v>
      </c>
      <c r="L27">
        <f t="shared" si="1"/>
        <v>2</v>
      </c>
    </row>
    <row r="28" spans="1:12" x14ac:dyDescent="0.3">
      <c r="A28" t="s">
        <v>36</v>
      </c>
      <c r="B28" t="s">
        <v>221</v>
      </c>
      <c r="C28" t="s">
        <v>273</v>
      </c>
      <c r="D28" t="s">
        <v>292</v>
      </c>
      <c r="E28" t="s">
        <v>293</v>
      </c>
      <c r="F28">
        <v>2</v>
      </c>
      <c r="G28">
        <v>220</v>
      </c>
      <c r="H28">
        <v>440</v>
      </c>
      <c r="I28">
        <v>0.05</v>
      </c>
      <c r="J28">
        <v>77</v>
      </c>
      <c r="K28">
        <f t="shared" si="0"/>
        <v>2025</v>
      </c>
      <c r="L28">
        <f t="shared" si="1"/>
        <v>2</v>
      </c>
    </row>
    <row r="29" spans="1:12" x14ac:dyDescent="0.3">
      <c r="A29" t="s">
        <v>37</v>
      </c>
      <c r="B29" t="s">
        <v>230</v>
      </c>
      <c r="C29" t="s">
        <v>277</v>
      </c>
      <c r="D29" t="s">
        <v>291</v>
      </c>
      <c r="E29" t="s">
        <v>298</v>
      </c>
      <c r="F29">
        <v>1</v>
      </c>
      <c r="G29">
        <v>150</v>
      </c>
      <c r="H29">
        <v>150</v>
      </c>
      <c r="I29">
        <v>0</v>
      </c>
      <c r="J29">
        <v>30</v>
      </c>
      <c r="K29">
        <f t="shared" si="0"/>
        <v>2025</v>
      </c>
      <c r="L29">
        <f t="shared" si="1"/>
        <v>1</v>
      </c>
    </row>
    <row r="30" spans="1:12" x14ac:dyDescent="0.3">
      <c r="A30" t="s">
        <v>38</v>
      </c>
      <c r="B30" t="s">
        <v>222</v>
      </c>
      <c r="C30" t="s">
        <v>269</v>
      </c>
      <c r="D30" t="s">
        <v>289</v>
      </c>
      <c r="E30" t="s">
        <v>301</v>
      </c>
      <c r="F30">
        <v>5</v>
      </c>
      <c r="G30">
        <v>250</v>
      </c>
      <c r="H30">
        <v>1250</v>
      </c>
      <c r="I30">
        <v>0.05</v>
      </c>
      <c r="J30">
        <v>218.75</v>
      </c>
      <c r="K30">
        <f t="shared" si="0"/>
        <v>2025</v>
      </c>
      <c r="L30">
        <f t="shared" si="1"/>
        <v>1</v>
      </c>
    </row>
    <row r="31" spans="1:12" x14ac:dyDescent="0.3">
      <c r="A31" t="s">
        <v>39</v>
      </c>
      <c r="B31" t="s">
        <v>228</v>
      </c>
      <c r="C31" t="s">
        <v>280</v>
      </c>
      <c r="D31" t="s">
        <v>292</v>
      </c>
      <c r="E31" t="s">
        <v>299</v>
      </c>
      <c r="F31">
        <v>3</v>
      </c>
      <c r="G31">
        <v>90</v>
      </c>
      <c r="H31">
        <v>270</v>
      </c>
      <c r="I31">
        <v>0.05</v>
      </c>
      <c r="J31">
        <v>47.25</v>
      </c>
      <c r="K31">
        <f t="shared" si="0"/>
        <v>2025</v>
      </c>
      <c r="L31">
        <f t="shared" si="1"/>
        <v>1</v>
      </c>
    </row>
    <row r="32" spans="1:12" x14ac:dyDescent="0.3">
      <c r="A32" t="s">
        <v>40</v>
      </c>
      <c r="B32" t="s">
        <v>230</v>
      </c>
      <c r="C32" t="s">
        <v>271</v>
      </c>
      <c r="D32" t="s">
        <v>289</v>
      </c>
      <c r="E32" t="s">
        <v>294</v>
      </c>
      <c r="F32">
        <v>3</v>
      </c>
      <c r="G32">
        <v>120</v>
      </c>
      <c r="H32">
        <v>360</v>
      </c>
      <c r="I32">
        <v>0.05</v>
      </c>
      <c r="J32">
        <v>63</v>
      </c>
      <c r="K32">
        <f t="shared" si="0"/>
        <v>2025</v>
      </c>
      <c r="L32">
        <f t="shared" si="1"/>
        <v>1</v>
      </c>
    </row>
    <row r="33" spans="1:12" x14ac:dyDescent="0.3">
      <c r="A33" t="s">
        <v>41</v>
      </c>
      <c r="B33" t="s">
        <v>231</v>
      </c>
      <c r="C33" t="s">
        <v>271</v>
      </c>
      <c r="D33" t="s">
        <v>289</v>
      </c>
      <c r="E33" t="s">
        <v>299</v>
      </c>
      <c r="F33">
        <v>3</v>
      </c>
      <c r="G33">
        <v>90</v>
      </c>
      <c r="H33">
        <v>270</v>
      </c>
      <c r="I33">
        <v>0</v>
      </c>
      <c r="J33">
        <v>54</v>
      </c>
      <c r="K33">
        <f t="shared" si="0"/>
        <v>2025</v>
      </c>
      <c r="L33">
        <f t="shared" si="1"/>
        <v>1</v>
      </c>
    </row>
    <row r="34" spans="1:12" x14ac:dyDescent="0.3">
      <c r="A34" t="s">
        <v>42</v>
      </c>
      <c r="B34" t="s">
        <v>232</v>
      </c>
      <c r="C34" t="s">
        <v>276</v>
      </c>
      <c r="D34" t="s">
        <v>290</v>
      </c>
      <c r="E34" t="s">
        <v>296</v>
      </c>
      <c r="F34">
        <v>4</v>
      </c>
      <c r="G34">
        <v>80</v>
      </c>
      <c r="H34">
        <v>320</v>
      </c>
      <c r="I34">
        <v>0.05</v>
      </c>
      <c r="J34">
        <v>56</v>
      </c>
      <c r="K34">
        <f t="shared" ref="K34:K65" si="2">YEAR(B34)</f>
        <v>2025</v>
      </c>
      <c r="L34">
        <f t="shared" ref="L34:L65" si="3">MONTH(B34)</f>
        <v>1</v>
      </c>
    </row>
    <row r="35" spans="1:12" x14ac:dyDescent="0.3">
      <c r="A35" t="s">
        <v>43</v>
      </c>
      <c r="B35" t="s">
        <v>233</v>
      </c>
      <c r="C35" t="s">
        <v>271</v>
      </c>
      <c r="D35" t="s">
        <v>292</v>
      </c>
      <c r="E35" t="s">
        <v>301</v>
      </c>
      <c r="F35">
        <v>4</v>
      </c>
      <c r="G35">
        <v>250</v>
      </c>
      <c r="H35">
        <v>1000</v>
      </c>
      <c r="I35">
        <v>0.05</v>
      </c>
      <c r="J35">
        <v>175</v>
      </c>
      <c r="K35">
        <f t="shared" si="2"/>
        <v>2025</v>
      </c>
      <c r="L35">
        <f t="shared" si="3"/>
        <v>1</v>
      </c>
    </row>
    <row r="36" spans="1:12" x14ac:dyDescent="0.3">
      <c r="A36" t="s">
        <v>44</v>
      </c>
      <c r="B36" t="s">
        <v>227</v>
      </c>
      <c r="C36" t="s">
        <v>277</v>
      </c>
      <c r="D36" t="s">
        <v>292</v>
      </c>
      <c r="E36" t="s">
        <v>296</v>
      </c>
      <c r="F36">
        <v>4</v>
      </c>
      <c r="G36">
        <v>80</v>
      </c>
      <c r="H36">
        <v>320</v>
      </c>
      <c r="I36">
        <v>0.1</v>
      </c>
      <c r="J36">
        <v>48</v>
      </c>
      <c r="K36">
        <f t="shared" si="2"/>
        <v>2025</v>
      </c>
      <c r="L36">
        <f t="shared" si="3"/>
        <v>2</v>
      </c>
    </row>
    <row r="37" spans="1:12" x14ac:dyDescent="0.3">
      <c r="A37" t="s">
        <v>45</v>
      </c>
      <c r="B37" t="s">
        <v>234</v>
      </c>
      <c r="C37" t="s">
        <v>284</v>
      </c>
      <c r="D37" t="s">
        <v>291</v>
      </c>
      <c r="E37" t="s">
        <v>293</v>
      </c>
      <c r="F37">
        <v>1</v>
      </c>
      <c r="G37">
        <v>220</v>
      </c>
      <c r="H37">
        <v>220</v>
      </c>
      <c r="I37">
        <v>0.05</v>
      </c>
      <c r="J37">
        <v>38.5</v>
      </c>
      <c r="K37">
        <f t="shared" si="2"/>
        <v>2025</v>
      </c>
      <c r="L37">
        <f t="shared" si="3"/>
        <v>1</v>
      </c>
    </row>
    <row r="38" spans="1:12" x14ac:dyDescent="0.3">
      <c r="A38" t="s">
        <v>46</v>
      </c>
      <c r="B38" t="s">
        <v>235</v>
      </c>
      <c r="C38" t="s">
        <v>271</v>
      </c>
      <c r="D38" t="s">
        <v>291</v>
      </c>
      <c r="E38" t="s">
        <v>298</v>
      </c>
      <c r="F38">
        <v>3</v>
      </c>
      <c r="G38">
        <v>150</v>
      </c>
      <c r="H38">
        <v>450</v>
      </c>
      <c r="I38">
        <v>0.1</v>
      </c>
      <c r="J38">
        <v>67.5</v>
      </c>
      <c r="K38">
        <f t="shared" si="2"/>
        <v>2025</v>
      </c>
      <c r="L38">
        <f t="shared" si="3"/>
        <v>1</v>
      </c>
    </row>
    <row r="39" spans="1:12" x14ac:dyDescent="0.3">
      <c r="A39" t="s">
        <v>47</v>
      </c>
      <c r="B39" t="s">
        <v>236</v>
      </c>
      <c r="C39" t="s">
        <v>286</v>
      </c>
      <c r="D39" t="s">
        <v>290</v>
      </c>
      <c r="E39" t="s">
        <v>300</v>
      </c>
      <c r="F39">
        <v>1</v>
      </c>
      <c r="G39">
        <v>130</v>
      </c>
      <c r="H39">
        <v>130</v>
      </c>
      <c r="I39">
        <v>0.1</v>
      </c>
      <c r="J39">
        <v>19.5</v>
      </c>
      <c r="K39">
        <f t="shared" si="2"/>
        <v>2025</v>
      </c>
      <c r="L39">
        <f t="shared" si="3"/>
        <v>2</v>
      </c>
    </row>
    <row r="40" spans="1:12" x14ac:dyDescent="0.3">
      <c r="A40" t="s">
        <v>48</v>
      </c>
      <c r="B40" t="s">
        <v>214</v>
      </c>
      <c r="C40" t="s">
        <v>287</v>
      </c>
      <c r="D40" t="s">
        <v>291</v>
      </c>
      <c r="E40" t="s">
        <v>294</v>
      </c>
      <c r="F40">
        <v>3</v>
      </c>
      <c r="G40">
        <v>120</v>
      </c>
      <c r="H40">
        <v>360</v>
      </c>
      <c r="I40">
        <v>0</v>
      </c>
      <c r="J40">
        <v>72</v>
      </c>
      <c r="K40">
        <f t="shared" si="2"/>
        <v>2025</v>
      </c>
      <c r="L40">
        <f t="shared" si="3"/>
        <v>1</v>
      </c>
    </row>
    <row r="41" spans="1:12" x14ac:dyDescent="0.3">
      <c r="A41" t="s">
        <v>49</v>
      </c>
      <c r="B41" t="s">
        <v>237</v>
      </c>
      <c r="C41" t="s">
        <v>275</v>
      </c>
      <c r="D41" t="s">
        <v>291</v>
      </c>
      <c r="E41" t="s">
        <v>296</v>
      </c>
      <c r="F41">
        <v>1</v>
      </c>
      <c r="G41">
        <v>80</v>
      </c>
      <c r="H41">
        <v>80</v>
      </c>
      <c r="I41">
        <v>0.1</v>
      </c>
      <c r="J41">
        <v>12</v>
      </c>
      <c r="K41">
        <f t="shared" si="2"/>
        <v>2025</v>
      </c>
      <c r="L41">
        <f t="shared" si="3"/>
        <v>1</v>
      </c>
    </row>
    <row r="42" spans="1:12" x14ac:dyDescent="0.3">
      <c r="A42" t="s">
        <v>50</v>
      </c>
      <c r="B42" t="s">
        <v>238</v>
      </c>
      <c r="C42" t="s">
        <v>276</v>
      </c>
      <c r="D42" t="s">
        <v>289</v>
      </c>
      <c r="E42" t="s">
        <v>297</v>
      </c>
      <c r="F42">
        <v>2</v>
      </c>
      <c r="G42">
        <v>180</v>
      </c>
      <c r="H42">
        <v>360</v>
      </c>
      <c r="I42">
        <v>0.05</v>
      </c>
      <c r="J42">
        <v>63</v>
      </c>
      <c r="K42">
        <f t="shared" si="2"/>
        <v>2025</v>
      </c>
      <c r="L42">
        <f t="shared" si="3"/>
        <v>1</v>
      </c>
    </row>
    <row r="43" spans="1:12" x14ac:dyDescent="0.3">
      <c r="A43" t="s">
        <v>51</v>
      </c>
      <c r="B43" t="s">
        <v>228</v>
      </c>
      <c r="C43" t="s">
        <v>271</v>
      </c>
      <c r="D43" t="s">
        <v>292</v>
      </c>
      <c r="E43" t="s">
        <v>301</v>
      </c>
      <c r="F43">
        <v>1</v>
      </c>
      <c r="G43">
        <v>250</v>
      </c>
      <c r="H43">
        <v>250</v>
      </c>
      <c r="I43">
        <v>0.05</v>
      </c>
      <c r="J43">
        <v>43.75</v>
      </c>
      <c r="K43">
        <f t="shared" si="2"/>
        <v>2025</v>
      </c>
      <c r="L43">
        <f t="shared" si="3"/>
        <v>1</v>
      </c>
    </row>
    <row r="44" spans="1:12" x14ac:dyDescent="0.3">
      <c r="A44" t="s">
        <v>52</v>
      </c>
      <c r="B44" t="s">
        <v>217</v>
      </c>
      <c r="C44" t="s">
        <v>280</v>
      </c>
      <c r="D44" t="s">
        <v>292</v>
      </c>
      <c r="E44" t="s">
        <v>302</v>
      </c>
      <c r="F44">
        <v>2</v>
      </c>
      <c r="G44">
        <v>60</v>
      </c>
      <c r="H44">
        <v>120</v>
      </c>
      <c r="I44">
        <v>0</v>
      </c>
      <c r="J44">
        <v>24</v>
      </c>
      <c r="K44">
        <f t="shared" si="2"/>
        <v>2025</v>
      </c>
      <c r="L44">
        <f t="shared" si="3"/>
        <v>1</v>
      </c>
    </row>
    <row r="45" spans="1:12" x14ac:dyDescent="0.3">
      <c r="A45" t="s">
        <v>53</v>
      </c>
      <c r="B45" t="s">
        <v>239</v>
      </c>
      <c r="C45" t="s">
        <v>269</v>
      </c>
      <c r="D45" t="s">
        <v>292</v>
      </c>
      <c r="E45" t="s">
        <v>297</v>
      </c>
      <c r="F45">
        <v>5</v>
      </c>
      <c r="G45">
        <v>180</v>
      </c>
      <c r="H45">
        <v>900</v>
      </c>
      <c r="I45">
        <v>0</v>
      </c>
      <c r="J45">
        <v>180</v>
      </c>
      <c r="K45">
        <f t="shared" si="2"/>
        <v>2025</v>
      </c>
      <c r="L45">
        <f t="shared" si="3"/>
        <v>2</v>
      </c>
    </row>
    <row r="46" spans="1:12" x14ac:dyDescent="0.3">
      <c r="A46" t="s">
        <v>54</v>
      </c>
      <c r="B46" t="s">
        <v>228</v>
      </c>
      <c r="C46" t="s">
        <v>283</v>
      </c>
      <c r="D46" t="s">
        <v>290</v>
      </c>
      <c r="E46" t="s">
        <v>296</v>
      </c>
      <c r="F46">
        <v>5</v>
      </c>
      <c r="G46">
        <v>80</v>
      </c>
      <c r="H46">
        <v>400</v>
      </c>
      <c r="I46">
        <v>0.1</v>
      </c>
      <c r="J46">
        <v>60</v>
      </c>
      <c r="K46">
        <f t="shared" si="2"/>
        <v>2025</v>
      </c>
      <c r="L46">
        <f t="shared" si="3"/>
        <v>1</v>
      </c>
    </row>
    <row r="47" spans="1:12" x14ac:dyDescent="0.3">
      <c r="A47" t="s">
        <v>55</v>
      </c>
      <c r="B47" t="s">
        <v>240</v>
      </c>
      <c r="C47" t="s">
        <v>281</v>
      </c>
      <c r="D47" t="s">
        <v>290</v>
      </c>
      <c r="E47" t="s">
        <v>300</v>
      </c>
      <c r="F47">
        <v>5</v>
      </c>
      <c r="G47">
        <v>130</v>
      </c>
      <c r="H47">
        <v>650</v>
      </c>
      <c r="I47">
        <v>0</v>
      </c>
      <c r="J47">
        <v>130</v>
      </c>
      <c r="K47">
        <f t="shared" si="2"/>
        <v>2025</v>
      </c>
      <c r="L47">
        <f t="shared" si="3"/>
        <v>2</v>
      </c>
    </row>
    <row r="48" spans="1:12" x14ac:dyDescent="0.3">
      <c r="A48" t="s">
        <v>56</v>
      </c>
      <c r="B48" t="s">
        <v>233</v>
      </c>
      <c r="C48" t="s">
        <v>279</v>
      </c>
      <c r="D48" t="s">
        <v>291</v>
      </c>
      <c r="E48" t="s">
        <v>293</v>
      </c>
      <c r="F48">
        <v>1</v>
      </c>
      <c r="G48">
        <v>220</v>
      </c>
      <c r="H48">
        <v>220</v>
      </c>
      <c r="I48">
        <v>0.1</v>
      </c>
      <c r="J48">
        <v>33</v>
      </c>
      <c r="K48">
        <f t="shared" si="2"/>
        <v>2025</v>
      </c>
      <c r="L48">
        <f t="shared" si="3"/>
        <v>1</v>
      </c>
    </row>
    <row r="49" spans="1:12" x14ac:dyDescent="0.3">
      <c r="A49" t="s">
        <v>57</v>
      </c>
      <c r="B49" t="s">
        <v>241</v>
      </c>
      <c r="C49" t="s">
        <v>272</v>
      </c>
      <c r="D49" t="s">
        <v>290</v>
      </c>
      <c r="E49" t="s">
        <v>294</v>
      </c>
      <c r="F49">
        <v>5</v>
      </c>
      <c r="G49">
        <v>120</v>
      </c>
      <c r="H49">
        <v>600</v>
      </c>
      <c r="I49">
        <v>0.05</v>
      </c>
      <c r="J49">
        <v>105</v>
      </c>
      <c r="K49">
        <f t="shared" si="2"/>
        <v>2025</v>
      </c>
      <c r="L49">
        <f t="shared" si="3"/>
        <v>1</v>
      </c>
    </row>
    <row r="50" spans="1:12" x14ac:dyDescent="0.3">
      <c r="A50" t="s">
        <v>58</v>
      </c>
      <c r="B50" t="s">
        <v>238</v>
      </c>
      <c r="C50" t="s">
        <v>282</v>
      </c>
      <c r="D50" t="s">
        <v>289</v>
      </c>
      <c r="E50" t="s">
        <v>295</v>
      </c>
      <c r="F50">
        <v>1</v>
      </c>
      <c r="G50">
        <v>100</v>
      </c>
      <c r="H50">
        <v>100</v>
      </c>
      <c r="I50">
        <v>0.05</v>
      </c>
      <c r="J50">
        <v>17.5</v>
      </c>
      <c r="K50">
        <f t="shared" si="2"/>
        <v>2025</v>
      </c>
      <c r="L50">
        <f t="shared" si="3"/>
        <v>1</v>
      </c>
    </row>
    <row r="51" spans="1:12" x14ac:dyDescent="0.3">
      <c r="A51" t="s">
        <v>59</v>
      </c>
      <c r="B51" t="s">
        <v>242</v>
      </c>
      <c r="C51" t="s">
        <v>272</v>
      </c>
      <c r="D51" t="s">
        <v>290</v>
      </c>
      <c r="E51" t="s">
        <v>294</v>
      </c>
      <c r="F51">
        <v>1</v>
      </c>
      <c r="G51">
        <v>120</v>
      </c>
      <c r="H51">
        <v>120</v>
      </c>
      <c r="I51">
        <v>0.1</v>
      </c>
      <c r="J51">
        <v>18</v>
      </c>
      <c r="K51">
        <f t="shared" si="2"/>
        <v>2025</v>
      </c>
      <c r="L51">
        <f t="shared" si="3"/>
        <v>2</v>
      </c>
    </row>
    <row r="52" spans="1:12" x14ac:dyDescent="0.3">
      <c r="A52" t="s">
        <v>60</v>
      </c>
      <c r="B52" t="s">
        <v>220</v>
      </c>
      <c r="C52" t="s">
        <v>271</v>
      </c>
      <c r="D52" t="s">
        <v>290</v>
      </c>
      <c r="E52" t="s">
        <v>297</v>
      </c>
      <c r="F52">
        <v>3</v>
      </c>
      <c r="G52">
        <v>180</v>
      </c>
      <c r="H52">
        <v>540</v>
      </c>
      <c r="I52">
        <v>0.1</v>
      </c>
      <c r="J52">
        <v>81</v>
      </c>
      <c r="K52">
        <f t="shared" si="2"/>
        <v>2025</v>
      </c>
      <c r="L52">
        <f t="shared" si="3"/>
        <v>1</v>
      </c>
    </row>
    <row r="53" spans="1:12" x14ac:dyDescent="0.3">
      <c r="A53" t="s">
        <v>61</v>
      </c>
      <c r="B53" t="s">
        <v>243</v>
      </c>
      <c r="C53" t="s">
        <v>271</v>
      </c>
      <c r="D53" t="s">
        <v>289</v>
      </c>
      <c r="E53" t="s">
        <v>301</v>
      </c>
      <c r="F53">
        <v>4</v>
      </c>
      <c r="G53">
        <v>250</v>
      </c>
      <c r="H53">
        <v>1000</v>
      </c>
      <c r="I53">
        <v>0</v>
      </c>
      <c r="J53">
        <v>200</v>
      </c>
      <c r="K53">
        <f t="shared" si="2"/>
        <v>2025</v>
      </c>
      <c r="L53">
        <f t="shared" si="3"/>
        <v>2</v>
      </c>
    </row>
    <row r="54" spans="1:12" x14ac:dyDescent="0.3">
      <c r="A54" t="s">
        <v>62</v>
      </c>
      <c r="B54" t="s">
        <v>244</v>
      </c>
      <c r="C54" t="s">
        <v>283</v>
      </c>
      <c r="D54" t="s">
        <v>289</v>
      </c>
      <c r="E54" t="s">
        <v>300</v>
      </c>
      <c r="F54">
        <v>1</v>
      </c>
      <c r="G54">
        <v>130</v>
      </c>
      <c r="H54">
        <v>130</v>
      </c>
      <c r="I54">
        <v>0</v>
      </c>
      <c r="J54">
        <v>26</v>
      </c>
      <c r="K54">
        <f t="shared" si="2"/>
        <v>2025</v>
      </c>
      <c r="L54">
        <f t="shared" si="3"/>
        <v>1</v>
      </c>
    </row>
    <row r="55" spans="1:12" x14ac:dyDescent="0.3">
      <c r="A55" t="s">
        <v>63</v>
      </c>
      <c r="B55" t="s">
        <v>233</v>
      </c>
      <c r="C55" t="s">
        <v>288</v>
      </c>
      <c r="D55" t="s">
        <v>291</v>
      </c>
      <c r="E55" t="s">
        <v>298</v>
      </c>
      <c r="F55">
        <v>1</v>
      </c>
      <c r="G55">
        <v>150</v>
      </c>
      <c r="H55">
        <v>150</v>
      </c>
      <c r="I55">
        <v>0</v>
      </c>
      <c r="J55">
        <v>30</v>
      </c>
      <c r="K55">
        <f t="shared" si="2"/>
        <v>2025</v>
      </c>
      <c r="L55">
        <f t="shared" si="3"/>
        <v>1</v>
      </c>
    </row>
    <row r="56" spans="1:12" x14ac:dyDescent="0.3">
      <c r="A56" t="s">
        <v>64</v>
      </c>
      <c r="B56" t="s">
        <v>240</v>
      </c>
      <c r="C56" t="s">
        <v>272</v>
      </c>
      <c r="D56" t="s">
        <v>291</v>
      </c>
      <c r="E56" t="s">
        <v>300</v>
      </c>
      <c r="F56">
        <v>5</v>
      </c>
      <c r="G56">
        <v>130</v>
      </c>
      <c r="H56">
        <v>650</v>
      </c>
      <c r="I56">
        <v>0.05</v>
      </c>
      <c r="J56">
        <v>113.75</v>
      </c>
      <c r="K56">
        <f t="shared" si="2"/>
        <v>2025</v>
      </c>
      <c r="L56">
        <f t="shared" si="3"/>
        <v>2</v>
      </c>
    </row>
    <row r="57" spans="1:12" x14ac:dyDescent="0.3">
      <c r="A57" t="s">
        <v>65</v>
      </c>
      <c r="B57" t="s">
        <v>227</v>
      </c>
      <c r="C57" t="s">
        <v>272</v>
      </c>
      <c r="D57" t="s">
        <v>289</v>
      </c>
      <c r="E57" t="s">
        <v>293</v>
      </c>
      <c r="F57">
        <v>1</v>
      </c>
      <c r="G57">
        <v>220</v>
      </c>
      <c r="H57">
        <v>220</v>
      </c>
      <c r="I57">
        <v>0.1</v>
      </c>
      <c r="J57">
        <v>33</v>
      </c>
      <c r="K57">
        <f t="shared" si="2"/>
        <v>2025</v>
      </c>
      <c r="L57">
        <f t="shared" si="3"/>
        <v>2</v>
      </c>
    </row>
    <row r="58" spans="1:12" x14ac:dyDescent="0.3">
      <c r="A58" t="s">
        <v>66</v>
      </c>
      <c r="B58" t="s">
        <v>245</v>
      </c>
      <c r="C58" t="s">
        <v>270</v>
      </c>
      <c r="D58" t="s">
        <v>292</v>
      </c>
      <c r="E58" t="s">
        <v>293</v>
      </c>
      <c r="F58">
        <v>4</v>
      </c>
      <c r="G58">
        <v>220</v>
      </c>
      <c r="H58">
        <v>880</v>
      </c>
      <c r="I58">
        <v>0.1</v>
      </c>
      <c r="J58">
        <v>132</v>
      </c>
      <c r="K58">
        <f t="shared" si="2"/>
        <v>2025</v>
      </c>
      <c r="L58">
        <f t="shared" si="3"/>
        <v>1</v>
      </c>
    </row>
    <row r="59" spans="1:12" x14ac:dyDescent="0.3">
      <c r="A59" t="s">
        <v>67</v>
      </c>
      <c r="B59" t="s">
        <v>213</v>
      </c>
      <c r="C59" t="s">
        <v>284</v>
      </c>
      <c r="D59" t="s">
        <v>291</v>
      </c>
      <c r="E59" t="s">
        <v>294</v>
      </c>
      <c r="F59">
        <v>3</v>
      </c>
      <c r="G59">
        <v>120</v>
      </c>
      <c r="H59">
        <v>360</v>
      </c>
      <c r="I59">
        <v>0.1</v>
      </c>
      <c r="J59">
        <v>54</v>
      </c>
      <c r="K59">
        <f t="shared" si="2"/>
        <v>2025</v>
      </c>
      <c r="L59">
        <f t="shared" si="3"/>
        <v>1</v>
      </c>
    </row>
    <row r="60" spans="1:12" x14ac:dyDescent="0.3">
      <c r="A60" t="s">
        <v>68</v>
      </c>
      <c r="B60" t="s">
        <v>219</v>
      </c>
      <c r="C60" t="s">
        <v>286</v>
      </c>
      <c r="D60" t="s">
        <v>292</v>
      </c>
      <c r="E60" t="s">
        <v>297</v>
      </c>
      <c r="F60">
        <v>5</v>
      </c>
      <c r="G60">
        <v>180</v>
      </c>
      <c r="H60">
        <v>900</v>
      </c>
      <c r="I60">
        <v>0.1</v>
      </c>
      <c r="J60">
        <v>135</v>
      </c>
      <c r="K60">
        <f t="shared" si="2"/>
        <v>2025</v>
      </c>
      <c r="L60">
        <f t="shared" si="3"/>
        <v>2</v>
      </c>
    </row>
    <row r="61" spans="1:12" x14ac:dyDescent="0.3">
      <c r="A61" t="s">
        <v>69</v>
      </c>
      <c r="B61" t="s">
        <v>214</v>
      </c>
      <c r="C61" t="s">
        <v>288</v>
      </c>
      <c r="D61" t="s">
        <v>291</v>
      </c>
      <c r="E61" t="s">
        <v>301</v>
      </c>
      <c r="F61">
        <v>5</v>
      </c>
      <c r="G61">
        <v>250</v>
      </c>
      <c r="H61">
        <v>1250</v>
      </c>
      <c r="I61">
        <v>0</v>
      </c>
      <c r="J61">
        <v>250</v>
      </c>
      <c r="K61">
        <f t="shared" si="2"/>
        <v>2025</v>
      </c>
      <c r="L61">
        <f t="shared" si="3"/>
        <v>1</v>
      </c>
    </row>
    <row r="62" spans="1:12" x14ac:dyDescent="0.3">
      <c r="A62" t="s">
        <v>70</v>
      </c>
      <c r="B62" t="s">
        <v>246</v>
      </c>
      <c r="C62" t="s">
        <v>288</v>
      </c>
      <c r="D62" t="s">
        <v>292</v>
      </c>
      <c r="E62" t="s">
        <v>300</v>
      </c>
      <c r="F62">
        <v>3</v>
      </c>
      <c r="G62">
        <v>130</v>
      </c>
      <c r="H62">
        <v>390</v>
      </c>
      <c r="I62">
        <v>0.1</v>
      </c>
      <c r="J62">
        <v>58.5</v>
      </c>
      <c r="K62">
        <f t="shared" si="2"/>
        <v>2025</v>
      </c>
      <c r="L62">
        <f t="shared" si="3"/>
        <v>2</v>
      </c>
    </row>
    <row r="63" spans="1:12" x14ac:dyDescent="0.3">
      <c r="A63" t="s">
        <v>71</v>
      </c>
      <c r="B63" t="s">
        <v>229</v>
      </c>
      <c r="C63" t="s">
        <v>279</v>
      </c>
      <c r="D63" t="s">
        <v>290</v>
      </c>
      <c r="E63" t="s">
        <v>299</v>
      </c>
      <c r="F63">
        <v>2</v>
      </c>
      <c r="G63">
        <v>90</v>
      </c>
      <c r="H63">
        <v>180</v>
      </c>
      <c r="I63">
        <v>0</v>
      </c>
      <c r="J63">
        <v>36</v>
      </c>
      <c r="K63">
        <f t="shared" si="2"/>
        <v>2025</v>
      </c>
      <c r="L63">
        <f t="shared" si="3"/>
        <v>2</v>
      </c>
    </row>
    <row r="64" spans="1:12" x14ac:dyDescent="0.3">
      <c r="A64" t="s">
        <v>72</v>
      </c>
      <c r="B64" t="s">
        <v>237</v>
      </c>
      <c r="C64" t="s">
        <v>284</v>
      </c>
      <c r="D64" t="s">
        <v>291</v>
      </c>
      <c r="E64" t="s">
        <v>299</v>
      </c>
      <c r="F64">
        <v>2</v>
      </c>
      <c r="G64">
        <v>90</v>
      </c>
      <c r="H64">
        <v>180</v>
      </c>
      <c r="I64">
        <v>0.05</v>
      </c>
      <c r="J64">
        <v>31.5</v>
      </c>
      <c r="K64">
        <f t="shared" si="2"/>
        <v>2025</v>
      </c>
      <c r="L64">
        <f t="shared" si="3"/>
        <v>1</v>
      </c>
    </row>
    <row r="65" spans="1:12" x14ac:dyDescent="0.3">
      <c r="A65" t="s">
        <v>73</v>
      </c>
      <c r="B65" t="s">
        <v>233</v>
      </c>
      <c r="C65" t="s">
        <v>278</v>
      </c>
      <c r="D65" t="s">
        <v>289</v>
      </c>
      <c r="E65" t="s">
        <v>293</v>
      </c>
      <c r="F65">
        <v>1</v>
      </c>
      <c r="G65">
        <v>220</v>
      </c>
      <c r="H65">
        <v>220</v>
      </c>
      <c r="I65">
        <v>0.05</v>
      </c>
      <c r="J65">
        <v>38.5</v>
      </c>
      <c r="K65">
        <f t="shared" si="2"/>
        <v>2025</v>
      </c>
      <c r="L65">
        <f t="shared" si="3"/>
        <v>1</v>
      </c>
    </row>
    <row r="66" spans="1:12" x14ac:dyDescent="0.3">
      <c r="A66" t="s">
        <v>74</v>
      </c>
      <c r="B66" t="s">
        <v>247</v>
      </c>
      <c r="C66" t="s">
        <v>287</v>
      </c>
      <c r="D66" t="s">
        <v>291</v>
      </c>
      <c r="E66" t="s">
        <v>293</v>
      </c>
      <c r="F66">
        <v>1</v>
      </c>
      <c r="G66">
        <v>220</v>
      </c>
      <c r="H66">
        <v>220</v>
      </c>
      <c r="I66">
        <v>0.1</v>
      </c>
      <c r="J66">
        <v>33</v>
      </c>
      <c r="K66">
        <f t="shared" ref="K66:K97" si="4">YEAR(B66)</f>
        <v>2025</v>
      </c>
      <c r="L66">
        <f t="shared" ref="L66:L97" si="5">MONTH(B66)</f>
        <v>2</v>
      </c>
    </row>
    <row r="67" spans="1:12" x14ac:dyDescent="0.3">
      <c r="A67" t="s">
        <v>75</v>
      </c>
      <c r="B67" t="s">
        <v>221</v>
      </c>
      <c r="C67" t="s">
        <v>276</v>
      </c>
      <c r="D67" t="s">
        <v>289</v>
      </c>
      <c r="E67" t="s">
        <v>296</v>
      </c>
      <c r="F67">
        <v>5</v>
      </c>
      <c r="G67">
        <v>80</v>
      </c>
      <c r="H67">
        <v>400</v>
      </c>
      <c r="I67">
        <v>0</v>
      </c>
      <c r="J67">
        <v>80</v>
      </c>
      <c r="K67">
        <f t="shared" si="4"/>
        <v>2025</v>
      </c>
      <c r="L67">
        <f t="shared" si="5"/>
        <v>2</v>
      </c>
    </row>
    <row r="68" spans="1:12" x14ac:dyDescent="0.3">
      <c r="A68" t="s">
        <v>76</v>
      </c>
      <c r="B68" t="s">
        <v>237</v>
      </c>
      <c r="C68" t="s">
        <v>272</v>
      </c>
      <c r="D68" t="s">
        <v>291</v>
      </c>
      <c r="E68" t="s">
        <v>296</v>
      </c>
      <c r="F68">
        <v>5</v>
      </c>
      <c r="G68">
        <v>80</v>
      </c>
      <c r="H68">
        <v>400</v>
      </c>
      <c r="I68">
        <v>0.05</v>
      </c>
      <c r="J68">
        <v>70</v>
      </c>
      <c r="K68">
        <f t="shared" si="4"/>
        <v>2025</v>
      </c>
      <c r="L68">
        <f t="shared" si="5"/>
        <v>1</v>
      </c>
    </row>
    <row r="69" spans="1:12" x14ac:dyDescent="0.3">
      <c r="A69" t="s">
        <v>77</v>
      </c>
      <c r="B69" t="s">
        <v>245</v>
      </c>
      <c r="C69" t="s">
        <v>285</v>
      </c>
      <c r="D69" t="s">
        <v>291</v>
      </c>
      <c r="E69" t="s">
        <v>299</v>
      </c>
      <c r="F69">
        <v>3</v>
      </c>
      <c r="G69">
        <v>90</v>
      </c>
      <c r="H69">
        <v>270</v>
      </c>
      <c r="I69">
        <v>0.1</v>
      </c>
      <c r="J69">
        <v>40.5</v>
      </c>
      <c r="K69">
        <f t="shared" si="4"/>
        <v>2025</v>
      </c>
      <c r="L69">
        <f t="shared" si="5"/>
        <v>1</v>
      </c>
    </row>
    <row r="70" spans="1:12" x14ac:dyDescent="0.3">
      <c r="A70" t="s">
        <v>78</v>
      </c>
      <c r="B70" t="s">
        <v>248</v>
      </c>
      <c r="C70" t="s">
        <v>288</v>
      </c>
      <c r="D70" t="s">
        <v>289</v>
      </c>
      <c r="E70" t="s">
        <v>297</v>
      </c>
      <c r="F70">
        <v>2</v>
      </c>
      <c r="G70">
        <v>180</v>
      </c>
      <c r="H70">
        <v>360</v>
      </c>
      <c r="I70">
        <v>0.1</v>
      </c>
      <c r="J70">
        <v>54</v>
      </c>
      <c r="K70">
        <f t="shared" si="4"/>
        <v>2025</v>
      </c>
      <c r="L70">
        <f t="shared" si="5"/>
        <v>2</v>
      </c>
    </row>
    <row r="71" spans="1:12" x14ac:dyDescent="0.3">
      <c r="A71" t="s">
        <v>79</v>
      </c>
      <c r="B71" t="s">
        <v>213</v>
      </c>
      <c r="C71" t="s">
        <v>279</v>
      </c>
      <c r="D71" t="s">
        <v>289</v>
      </c>
      <c r="E71" t="s">
        <v>302</v>
      </c>
      <c r="F71">
        <v>1</v>
      </c>
      <c r="G71">
        <v>60</v>
      </c>
      <c r="H71">
        <v>60</v>
      </c>
      <c r="I71">
        <v>0.1</v>
      </c>
      <c r="J71">
        <v>9</v>
      </c>
      <c r="K71">
        <f t="shared" si="4"/>
        <v>2025</v>
      </c>
      <c r="L71">
        <f t="shared" si="5"/>
        <v>1</v>
      </c>
    </row>
    <row r="72" spans="1:12" x14ac:dyDescent="0.3">
      <c r="A72" t="s">
        <v>80</v>
      </c>
      <c r="B72" t="s">
        <v>249</v>
      </c>
      <c r="C72" t="s">
        <v>269</v>
      </c>
      <c r="D72" t="s">
        <v>289</v>
      </c>
      <c r="E72" t="s">
        <v>296</v>
      </c>
      <c r="F72">
        <v>2</v>
      </c>
      <c r="G72">
        <v>80</v>
      </c>
      <c r="H72">
        <v>160</v>
      </c>
      <c r="I72">
        <v>0.05</v>
      </c>
      <c r="J72">
        <v>28</v>
      </c>
      <c r="K72">
        <f t="shared" si="4"/>
        <v>2025</v>
      </c>
      <c r="L72">
        <f t="shared" si="5"/>
        <v>1</v>
      </c>
    </row>
    <row r="73" spans="1:12" x14ac:dyDescent="0.3">
      <c r="A73" t="s">
        <v>81</v>
      </c>
      <c r="B73" t="s">
        <v>210</v>
      </c>
      <c r="C73" t="s">
        <v>271</v>
      </c>
      <c r="D73" t="s">
        <v>292</v>
      </c>
      <c r="E73" t="s">
        <v>299</v>
      </c>
      <c r="F73">
        <v>1</v>
      </c>
      <c r="G73">
        <v>90</v>
      </c>
      <c r="H73">
        <v>90</v>
      </c>
      <c r="I73">
        <v>0</v>
      </c>
      <c r="J73">
        <v>18</v>
      </c>
      <c r="K73">
        <f t="shared" si="4"/>
        <v>2025</v>
      </c>
      <c r="L73">
        <f t="shared" si="5"/>
        <v>2</v>
      </c>
    </row>
    <row r="74" spans="1:12" x14ac:dyDescent="0.3">
      <c r="A74" t="s">
        <v>82</v>
      </c>
      <c r="B74" t="s">
        <v>230</v>
      </c>
      <c r="C74" t="s">
        <v>286</v>
      </c>
      <c r="D74" t="s">
        <v>290</v>
      </c>
      <c r="E74" t="s">
        <v>300</v>
      </c>
      <c r="F74">
        <v>1</v>
      </c>
      <c r="G74">
        <v>130</v>
      </c>
      <c r="H74">
        <v>130</v>
      </c>
      <c r="I74">
        <v>0</v>
      </c>
      <c r="J74">
        <v>26</v>
      </c>
      <c r="K74">
        <f t="shared" si="4"/>
        <v>2025</v>
      </c>
      <c r="L74">
        <f t="shared" si="5"/>
        <v>1</v>
      </c>
    </row>
    <row r="75" spans="1:12" x14ac:dyDescent="0.3">
      <c r="A75" t="s">
        <v>83</v>
      </c>
      <c r="B75" t="s">
        <v>247</v>
      </c>
      <c r="C75" t="s">
        <v>273</v>
      </c>
      <c r="D75" t="s">
        <v>289</v>
      </c>
      <c r="E75" t="s">
        <v>295</v>
      </c>
      <c r="F75">
        <v>1</v>
      </c>
      <c r="G75">
        <v>100</v>
      </c>
      <c r="H75">
        <v>100</v>
      </c>
      <c r="I75">
        <v>0</v>
      </c>
      <c r="J75">
        <v>20</v>
      </c>
      <c r="K75">
        <f t="shared" si="4"/>
        <v>2025</v>
      </c>
      <c r="L75">
        <f t="shared" si="5"/>
        <v>2</v>
      </c>
    </row>
    <row r="76" spans="1:12" x14ac:dyDescent="0.3">
      <c r="A76" t="s">
        <v>84</v>
      </c>
      <c r="B76" t="s">
        <v>250</v>
      </c>
      <c r="C76" t="s">
        <v>282</v>
      </c>
      <c r="D76" t="s">
        <v>290</v>
      </c>
      <c r="E76" t="s">
        <v>294</v>
      </c>
      <c r="F76">
        <v>5</v>
      </c>
      <c r="G76">
        <v>120</v>
      </c>
      <c r="H76">
        <v>600</v>
      </c>
      <c r="I76">
        <v>0.1</v>
      </c>
      <c r="J76">
        <v>90</v>
      </c>
      <c r="K76">
        <f t="shared" si="4"/>
        <v>2025</v>
      </c>
      <c r="L76">
        <f t="shared" si="5"/>
        <v>2</v>
      </c>
    </row>
    <row r="77" spans="1:12" x14ac:dyDescent="0.3">
      <c r="A77" t="s">
        <v>85</v>
      </c>
      <c r="B77" t="s">
        <v>238</v>
      </c>
      <c r="C77" t="s">
        <v>286</v>
      </c>
      <c r="D77" t="s">
        <v>291</v>
      </c>
      <c r="E77" t="s">
        <v>293</v>
      </c>
      <c r="F77">
        <v>1</v>
      </c>
      <c r="G77">
        <v>220</v>
      </c>
      <c r="H77">
        <v>220</v>
      </c>
      <c r="I77">
        <v>0</v>
      </c>
      <c r="J77">
        <v>44</v>
      </c>
      <c r="K77">
        <f t="shared" si="4"/>
        <v>2025</v>
      </c>
      <c r="L77">
        <f t="shared" si="5"/>
        <v>1</v>
      </c>
    </row>
    <row r="78" spans="1:12" x14ac:dyDescent="0.3">
      <c r="A78" t="s">
        <v>86</v>
      </c>
      <c r="B78" t="s">
        <v>251</v>
      </c>
      <c r="C78" t="s">
        <v>274</v>
      </c>
      <c r="D78" t="s">
        <v>292</v>
      </c>
      <c r="E78" t="s">
        <v>297</v>
      </c>
      <c r="F78">
        <v>2</v>
      </c>
      <c r="G78">
        <v>180</v>
      </c>
      <c r="H78">
        <v>360</v>
      </c>
      <c r="I78">
        <v>0.05</v>
      </c>
      <c r="J78">
        <v>63</v>
      </c>
      <c r="K78">
        <f t="shared" si="4"/>
        <v>2025</v>
      </c>
      <c r="L78">
        <f t="shared" si="5"/>
        <v>2</v>
      </c>
    </row>
    <row r="79" spans="1:12" x14ac:dyDescent="0.3">
      <c r="A79" t="s">
        <v>87</v>
      </c>
      <c r="B79" t="s">
        <v>237</v>
      </c>
      <c r="C79" t="s">
        <v>287</v>
      </c>
      <c r="D79" t="s">
        <v>292</v>
      </c>
      <c r="E79" t="s">
        <v>295</v>
      </c>
      <c r="F79">
        <v>5</v>
      </c>
      <c r="G79">
        <v>100</v>
      </c>
      <c r="H79">
        <v>500</v>
      </c>
      <c r="I79">
        <v>0.1</v>
      </c>
      <c r="J79">
        <v>75</v>
      </c>
      <c r="K79">
        <f t="shared" si="4"/>
        <v>2025</v>
      </c>
      <c r="L79">
        <f t="shared" si="5"/>
        <v>1</v>
      </c>
    </row>
    <row r="80" spans="1:12" x14ac:dyDescent="0.3">
      <c r="A80" t="s">
        <v>88</v>
      </c>
      <c r="B80" t="s">
        <v>252</v>
      </c>
      <c r="C80" t="s">
        <v>282</v>
      </c>
      <c r="D80" t="s">
        <v>292</v>
      </c>
      <c r="E80" t="s">
        <v>299</v>
      </c>
      <c r="F80">
        <v>2</v>
      </c>
      <c r="G80">
        <v>90</v>
      </c>
      <c r="H80">
        <v>180</v>
      </c>
      <c r="I80">
        <v>0.05</v>
      </c>
      <c r="J80">
        <v>31.5</v>
      </c>
      <c r="K80">
        <f t="shared" si="4"/>
        <v>2025</v>
      </c>
      <c r="L80">
        <f t="shared" si="5"/>
        <v>1</v>
      </c>
    </row>
    <row r="81" spans="1:12" x14ac:dyDescent="0.3">
      <c r="A81" t="s">
        <v>89</v>
      </c>
      <c r="B81" t="s">
        <v>253</v>
      </c>
      <c r="C81" t="s">
        <v>286</v>
      </c>
      <c r="D81" t="s">
        <v>291</v>
      </c>
      <c r="E81" t="s">
        <v>293</v>
      </c>
      <c r="F81">
        <v>4</v>
      </c>
      <c r="G81">
        <v>220</v>
      </c>
      <c r="H81">
        <v>880</v>
      </c>
      <c r="I81">
        <v>0.1</v>
      </c>
      <c r="J81">
        <v>132</v>
      </c>
      <c r="K81">
        <f t="shared" si="4"/>
        <v>2025</v>
      </c>
      <c r="L81">
        <f t="shared" si="5"/>
        <v>2</v>
      </c>
    </row>
    <row r="82" spans="1:12" x14ac:dyDescent="0.3">
      <c r="A82" t="s">
        <v>90</v>
      </c>
      <c r="B82" t="s">
        <v>224</v>
      </c>
      <c r="C82" t="s">
        <v>288</v>
      </c>
      <c r="D82" t="s">
        <v>291</v>
      </c>
      <c r="E82" t="s">
        <v>298</v>
      </c>
      <c r="F82">
        <v>1</v>
      </c>
      <c r="G82">
        <v>150</v>
      </c>
      <c r="H82">
        <v>150</v>
      </c>
      <c r="I82">
        <v>0.1</v>
      </c>
      <c r="J82">
        <v>22.5</v>
      </c>
      <c r="K82">
        <f t="shared" si="4"/>
        <v>2025</v>
      </c>
      <c r="L82">
        <f t="shared" si="5"/>
        <v>2</v>
      </c>
    </row>
    <row r="83" spans="1:12" x14ac:dyDescent="0.3">
      <c r="A83" t="s">
        <v>91</v>
      </c>
      <c r="B83" t="s">
        <v>240</v>
      </c>
      <c r="C83" t="s">
        <v>283</v>
      </c>
      <c r="D83" t="s">
        <v>289</v>
      </c>
      <c r="E83" t="s">
        <v>301</v>
      </c>
      <c r="F83">
        <v>2</v>
      </c>
      <c r="G83">
        <v>250</v>
      </c>
      <c r="H83">
        <v>500</v>
      </c>
      <c r="I83">
        <v>0</v>
      </c>
      <c r="J83">
        <v>100</v>
      </c>
      <c r="K83">
        <f t="shared" si="4"/>
        <v>2025</v>
      </c>
      <c r="L83">
        <f t="shared" si="5"/>
        <v>2</v>
      </c>
    </row>
    <row r="84" spans="1:12" x14ac:dyDescent="0.3">
      <c r="A84" t="s">
        <v>92</v>
      </c>
      <c r="B84" t="s">
        <v>254</v>
      </c>
      <c r="C84" t="s">
        <v>276</v>
      </c>
      <c r="D84" t="s">
        <v>289</v>
      </c>
      <c r="E84" t="s">
        <v>302</v>
      </c>
      <c r="F84">
        <v>1</v>
      </c>
      <c r="G84">
        <v>60</v>
      </c>
      <c r="H84">
        <v>60</v>
      </c>
      <c r="I84">
        <v>0</v>
      </c>
      <c r="J84">
        <v>12</v>
      </c>
      <c r="K84">
        <f t="shared" si="4"/>
        <v>2025</v>
      </c>
      <c r="L84">
        <f t="shared" si="5"/>
        <v>2</v>
      </c>
    </row>
    <row r="85" spans="1:12" x14ac:dyDescent="0.3">
      <c r="A85" t="s">
        <v>93</v>
      </c>
      <c r="B85" t="s">
        <v>245</v>
      </c>
      <c r="C85" t="s">
        <v>270</v>
      </c>
      <c r="D85" t="s">
        <v>292</v>
      </c>
      <c r="E85" t="s">
        <v>297</v>
      </c>
      <c r="F85">
        <v>5</v>
      </c>
      <c r="G85">
        <v>180</v>
      </c>
      <c r="H85">
        <v>900</v>
      </c>
      <c r="I85">
        <v>0</v>
      </c>
      <c r="J85">
        <v>180</v>
      </c>
      <c r="K85">
        <f t="shared" si="4"/>
        <v>2025</v>
      </c>
      <c r="L85">
        <f t="shared" si="5"/>
        <v>1</v>
      </c>
    </row>
    <row r="86" spans="1:12" x14ac:dyDescent="0.3">
      <c r="A86" t="s">
        <v>94</v>
      </c>
      <c r="B86" t="s">
        <v>248</v>
      </c>
      <c r="C86" t="s">
        <v>276</v>
      </c>
      <c r="D86" t="s">
        <v>291</v>
      </c>
      <c r="E86" t="s">
        <v>295</v>
      </c>
      <c r="F86">
        <v>4</v>
      </c>
      <c r="G86">
        <v>100</v>
      </c>
      <c r="H86">
        <v>400</v>
      </c>
      <c r="I86">
        <v>0.05</v>
      </c>
      <c r="J86">
        <v>70</v>
      </c>
      <c r="K86">
        <f t="shared" si="4"/>
        <v>2025</v>
      </c>
      <c r="L86">
        <f t="shared" si="5"/>
        <v>2</v>
      </c>
    </row>
    <row r="87" spans="1:12" x14ac:dyDescent="0.3">
      <c r="A87" t="s">
        <v>95</v>
      </c>
      <c r="B87" t="s">
        <v>236</v>
      </c>
      <c r="C87" t="s">
        <v>273</v>
      </c>
      <c r="D87" t="s">
        <v>289</v>
      </c>
      <c r="E87" t="s">
        <v>295</v>
      </c>
      <c r="F87">
        <v>5</v>
      </c>
      <c r="G87">
        <v>100</v>
      </c>
      <c r="H87">
        <v>500</v>
      </c>
      <c r="I87">
        <v>0.1</v>
      </c>
      <c r="J87">
        <v>75</v>
      </c>
      <c r="K87">
        <f t="shared" si="4"/>
        <v>2025</v>
      </c>
      <c r="L87">
        <f t="shared" si="5"/>
        <v>2</v>
      </c>
    </row>
    <row r="88" spans="1:12" x14ac:dyDescent="0.3">
      <c r="A88" t="s">
        <v>96</v>
      </c>
      <c r="B88" t="s">
        <v>255</v>
      </c>
      <c r="C88" t="s">
        <v>287</v>
      </c>
      <c r="D88" t="s">
        <v>290</v>
      </c>
      <c r="E88" t="s">
        <v>295</v>
      </c>
      <c r="F88">
        <v>1</v>
      </c>
      <c r="G88">
        <v>100</v>
      </c>
      <c r="H88">
        <v>100</v>
      </c>
      <c r="I88">
        <v>0</v>
      </c>
      <c r="J88">
        <v>20</v>
      </c>
      <c r="K88">
        <f t="shared" si="4"/>
        <v>2025</v>
      </c>
      <c r="L88">
        <f t="shared" si="5"/>
        <v>2</v>
      </c>
    </row>
    <row r="89" spans="1:12" x14ac:dyDescent="0.3">
      <c r="A89" t="s">
        <v>97</v>
      </c>
      <c r="B89" t="s">
        <v>236</v>
      </c>
      <c r="C89" t="s">
        <v>269</v>
      </c>
      <c r="D89" t="s">
        <v>291</v>
      </c>
      <c r="E89" t="s">
        <v>293</v>
      </c>
      <c r="F89">
        <v>1</v>
      </c>
      <c r="G89">
        <v>220</v>
      </c>
      <c r="H89">
        <v>220</v>
      </c>
      <c r="I89">
        <v>0.1</v>
      </c>
      <c r="J89">
        <v>33</v>
      </c>
      <c r="K89">
        <f t="shared" si="4"/>
        <v>2025</v>
      </c>
      <c r="L89">
        <f t="shared" si="5"/>
        <v>2</v>
      </c>
    </row>
    <row r="90" spans="1:12" x14ac:dyDescent="0.3">
      <c r="A90" t="s">
        <v>98</v>
      </c>
      <c r="B90" t="s">
        <v>232</v>
      </c>
      <c r="C90" t="s">
        <v>271</v>
      </c>
      <c r="D90" t="s">
        <v>289</v>
      </c>
      <c r="E90" t="s">
        <v>295</v>
      </c>
      <c r="F90">
        <v>5</v>
      </c>
      <c r="G90">
        <v>100</v>
      </c>
      <c r="H90">
        <v>500</v>
      </c>
      <c r="I90">
        <v>0</v>
      </c>
      <c r="J90">
        <v>100</v>
      </c>
      <c r="K90">
        <f t="shared" si="4"/>
        <v>2025</v>
      </c>
      <c r="L90">
        <f t="shared" si="5"/>
        <v>1</v>
      </c>
    </row>
    <row r="91" spans="1:12" x14ac:dyDescent="0.3">
      <c r="A91" t="s">
        <v>99</v>
      </c>
      <c r="B91" t="s">
        <v>229</v>
      </c>
      <c r="C91" t="s">
        <v>275</v>
      </c>
      <c r="D91" t="s">
        <v>289</v>
      </c>
      <c r="E91" t="s">
        <v>298</v>
      </c>
      <c r="F91">
        <v>4</v>
      </c>
      <c r="G91">
        <v>150</v>
      </c>
      <c r="H91">
        <v>600</v>
      </c>
      <c r="I91">
        <v>0.05</v>
      </c>
      <c r="J91">
        <v>105</v>
      </c>
      <c r="K91">
        <f t="shared" si="4"/>
        <v>2025</v>
      </c>
      <c r="L91">
        <f t="shared" si="5"/>
        <v>2</v>
      </c>
    </row>
    <row r="92" spans="1:12" x14ac:dyDescent="0.3">
      <c r="A92" t="s">
        <v>100</v>
      </c>
      <c r="B92" t="s">
        <v>230</v>
      </c>
      <c r="C92" t="s">
        <v>283</v>
      </c>
      <c r="D92" t="s">
        <v>292</v>
      </c>
      <c r="E92" t="s">
        <v>302</v>
      </c>
      <c r="F92">
        <v>5</v>
      </c>
      <c r="G92">
        <v>60</v>
      </c>
      <c r="H92">
        <v>300</v>
      </c>
      <c r="I92">
        <v>0.05</v>
      </c>
      <c r="J92">
        <v>52.5</v>
      </c>
      <c r="K92">
        <f t="shared" si="4"/>
        <v>2025</v>
      </c>
      <c r="L92">
        <f t="shared" si="5"/>
        <v>1</v>
      </c>
    </row>
    <row r="93" spans="1:12" x14ac:dyDescent="0.3">
      <c r="A93" t="s">
        <v>101</v>
      </c>
      <c r="B93" t="s">
        <v>217</v>
      </c>
      <c r="C93" t="s">
        <v>271</v>
      </c>
      <c r="D93" t="s">
        <v>292</v>
      </c>
      <c r="E93" t="s">
        <v>297</v>
      </c>
      <c r="F93">
        <v>2</v>
      </c>
      <c r="G93">
        <v>180</v>
      </c>
      <c r="H93">
        <v>360</v>
      </c>
      <c r="I93">
        <v>0</v>
      </c>
      <c r="J93">
        <v>72</v>
      </c>
      <c r="K93">
        <f t="shared" si="4"/>
        <v>2025</v>
      </c>
      <c r="L93">
        <f t="shared" si="5"/>
        <v>1</v>
      </c>
    </row>
    <row r="94" spans="1:12" x14ac:dyDescent="0.3">
      <c r="A94" t="s">
        <v>102</v>
      </c>
      <c r="B94" t="s">
        <v>253</v>
      </c>
      <c r="C94" t="s">
        <v>271</v>
      </c>
      <c r="D94" t="s">
        <v>289</v>
      </c>
      <c r="E94" t="s">
        <v>293</v>
      </c>
      <c r="F94">
        <v>4</v>
      </c>
      <c r="G94">
        <v>220</v>
      </c>
      <c r="H94">
        <v>880</v>
      </c>
      <c r="I94">
        <v>0.1</v>
      </c>
      <c r="J94">
        <v>132</v>
      </c>
      <c r="K94">
        <f t="shared" si="4"/>
        <v>2025</v>
      </c>
      <c r="L94">
        <f t="shared" si="5"/>
        <v>2</v>
      </c>
    </row>
    <row r="95" spans="1:12" x14ac:dyDescent="0.3">
      <c r="A95" t="s">
        <v>103</v>
      </c>
      <c r="B95" t="s">
        <v>253</v>
      </c>
      <c r="C95" t="s">
        <v>276</v>
      </c>
      <c r="D95" t="s">
        <v>290</v>
      </c>
      <c r="E95" t="s">
        <v>293</v>
      </c>
      <c r="F95">
        <v>4</v>
      </c>
      <c r="G95">
        <v>220</v>
      </c>
      <c r="H95">
        <v>880</v>
      </c>
      <c r="I95">
        <v>0.1</v>
      </c>
      <c r="J95">
        <v>132</v>
      </c>
      <c r="K95">
        <f t="shared" si="4"/>
        <v>2025</v>
      </c>
      <c r="L95">
        <f t="shared" si="5"/>
        <v>2</v>
      </c>
    </row>
    <row r="96" spans="1:12" x14ac:dyDescent="0.3">
      <c r="A96" t="s">
        <v>104</v>
      </c>
      <c r="B96" t="s">
        <v>226</v>
      </c>
      <c r="C96" t="s">
        <v>272</v>
      </c>
      <c r="D96" t="s">
        <v>291</v>
      </c>
      <c r="E96" t="s">
        <v>297</v>
      </c>
      <c r="F96">
        <v>5</v>
      </c>
      <c r="G96">
        <v>180</v>
      </c>
      <c r="H96">
        <v>900</v>
      </c>
      <c r="I96">
        <v>0.1</v>
      </c>
      <c r="J96">
        <v>135</v>
      </c>
      <c r="K96">
        <f t="shared" si="4"/>
        <v>2025</v>
      </c>
      <c r="L96">
        <f t="shared" si="5"/>
        <v>2</v>
      </c>
    </row>
    <row r="97" spans="1:12" x14ac:dyDescent="0.3">
      <c r="A97" t="s">
        <v>105</v>
      </c>
      <c r="B97" t="s">
        <v>256</v>
      </c>
      <c r="C97" t="s">
        <v>271</v>
      </c>
      <c r="D97" t="s">
        <v>289</v>
      </c>
      <c r="E97" t="s">
        <v>296</v>
      </c>
      <c r="F97">
        <v>4</v>
      </c>
      <c r="G97">
        <v>80</v>
      </c>
      <c r="H97">
        <v>320</v>
      </c>
      <c r="I97">
        <v>0.1</v>
      </c>
      <c r="J97">
        <v>48</v>
      </c>
      <c r="K97">
        <f t="shared" si="4"/>
        <v>2025</v>
      </c>
      <c r="L97">
        <f t="shared" si="5"/>
        <v>1</v>
      </c>
    </row>
    <row r="98" spans="1:12" x14ac:dyDescent="0.3">
      <c r="A98" t="s">
        <v>106</v>
      </c>
      <c r="B98" t="s">
        <v>214</v>
      </c>
      <c r="C98" t="s">
        <v>283</v>
      </c>
      <c r="D98" t="s">
        <v>289</v>
      </c>
      <c r="E98" t="s">
        <v>295</v>
      </c>
      <c r="F98">
        <v>3</v>
      </c>
      <c r="G98">
        <v>100</v>
      </c>
      <c r="H98">
        <v>300</v>
      </c>
      <c r="I98">
        <v>0</v>
      </c>
      <c r="J98">
        <v>60</v>
      </c>
      <c r="K98">
        <f t="shared" ref="K98:K129" si="6">YEAR(B98)</f>
        <v>2025</v>
      </c>
      <c r="L98">
        <f t="shared" ref="L98:L129" si="7">MONTH(B98)</f>
        <v>1</v>
      </c>
    </row>
    <row r="99" spans="1:12" x14ac:dyDescent="0.3">
      <c r="A99" t="s">
        <v>107</v>
      </c>
      <c r="B99" t="s">
        <v>257</v>
      </c>
      <c r="C99" t="s">
        <v>280</v>
      </c>
      <c r="D99" t="s">
        <v>290</v>
      </c>
      <c r="E99" t="s">
        <v>295</v>
      </c>
      <c r="F99">
        <v>5</v>
      </c>
      <c r="G99">
        <v>100</v>
      </c>
      <c r="H99">
        <v>500</v>
      </c>
      <c r="I99">
        <v>0.1</v>
      </c>
      <c r="J99">
        <v>75</v>
      </c>
      <c r="K99">
        <f t="shared" si="6"/>
        <v>2025</v>
      </c>
      <c r="L99">
        <f t="shared" si="7"/>
        <v>1</v>
      </c>
    </row>
    <row r="100" spans="1:12" x14ac:dyDescent="0.3">
      <c r="A100" t="s">
        <v>108</v>
      </c>
      <c r="B100" t="s">
        <v>231</v>
      </c>
      <c r="C100" t="s">
        <v>279</v>
      </c>
      <c r="D100" t="s">
        <v>291</v>
      </c>
      <c r="E100" t="s">
        <v>296</v>
      </c>
      <c r="F100">
        <v>5</v>
      </c>
      <c r="G100">
        <v>80</v>
      </c>
      <c r="H100">
        <v>400</v>
      </c>
      <c r="I100">
        <v>0.1</v>
      </c>
      <c r="J100">
        <v>60</v>
      </c>
      <c r="K100">
        <f t="shared" si="6"/>
        <v>2025</v>
      </c>
      <c r="L100">
        <f t="shared" si="7"/>
        <v>1</v>
      </c>
    </row>
    <row r="101" spans="1:12" x14ac:dyDescent="0.3">
      <c r="A101" t="s">
        <v>109</v>
      </c>
      <c r="B101" t="s">
        <v>242</v>
      </c>
      <c r="C101" t="s">
        <v>270</v>
      </c>
      <c r="D101" t="s">
        <v>289</v>
      </c>
      <c r="E101" t="s">
        <v>293</v>
      </c>
      <c r="F101">
        <v>4</v>
      </c>
      <c r="G101">
        <v>220</v>
      </c>
      <c r="H101">
        <v>880</v>
      </c>
      <c r="I101">
        <v>0.1</v>
      </c>
      <c r="J101">
        <v>132</v>
      </c>
      <c r="K101">
        <f t="shared" si="6"/>
        <v>2025</v>
      </c>
      <c r="L101">
        <f t="shared" si="7"/>
        <v>2</v>
      </c>
    </row>
    <row r="102" spans="1:12" x14ac:dyDescent="0.3">
      <c r="A102" t="s">
        <v>110</v>
      </c>
      <c r="B102" t="s">
        <v>258</v>
      </c>
      <c r="C102" t="s">
        <v>279</v>
      </c>
      <c r="D102" t="s">
        <v>290</v>
      </c>
      <c r="E102" t="s">
        <v>296</v>
      </c>
      <c r="F102">
        <v>3</v>
      </c>
      <c r="G102">
        <v>80</v>
      </c>
      <c r="H102">
        <v>240</v>
      </c>
      <c r="I102">
        <v>0.1</v>
      </c>
      <c r="J102">
        <v>36</v>
      </c>
      <c r="K102">
        <f t="shared" si="6"/>
        <v>2025</v>
      </c>
      <c r="L102">
        <f t="shared" si="7"/>
        <v>1</v>
      </c>
    </row>
    <row r="103" spans="1:12" x14ac:dyDescent="0.3">
      <c r="A103" t="s">
        <v>111</v>
      </c>
      <c r="B103" t="s">
        <v>248</v>
      </c>
      <c r="C103" t="s">
        <v>285</v>
      </c>
      <c r="D103" t="s">
        <v>291</v>
      </c>
      <c r="E103" t="s">
        <v>295</v>
      </c>
      <c r="F103">
        <v>2</v>
      </c>
      <c r="G103">
        <v>100</v>
      </c>
      <c r="H103">
        <v>200</v>
      </c>
      <c r="I103">
        <v>0</v>
      </c>
      <c r="J103">
        <v>40</v>
      </c>
      <c r="K103">
        <f t="shared" si="6"/>
        <v>2025</v>
      </c>
      <c r="L103">
        <f t="shared" si="7"/>
        <v>2</v>
      </c>
    </row>
    <row r="104" spans="1:12" x14ac:dyDescent="0.3">
      <c r="A104" t="s">
        <v>112</v>
      </c>
      <c r="B104" t="s">
        <v>226</v>
      </c>
      <c r="C104" t="s">
        <v>270</v>
      </c>
      <c r="D104" t="s">
        <v>291</v>
      </c>
      <c r="E104" t="s">
        <v>296</v>
      </c>
      <c r="F104">
        <v>4</v>
      </c>
      <c r="G104">
        <v>80</v>
      </c>
      <c r="H104">
        <v>320</v>
      </c>
      <c r="I104">
        <v>0.05</v>
      </c>
      <c r="J104">
        <v>56</v>
      </c>
      <c r="K104">
        <f t="shared" si="6"/>
        <v>2025</v>
      </c>
      <c r="L104">
        <f t="shared" si="7"/>
        <v>2</v>
      </c>
    </row>
    <row r="105" spans="1:12" x14ac:dyDescent="0.3">
      <c r="A105" t="s">
        <v>113</v>
      </c>
      <c r="B105" t="s">
        <v>259</v>
      </c>
      <c r="C105" t="s">
        <v>270</v>
      </c>
      <c r="D105" t="s">
        <v>292</v>
      </c>
      <c r="E105" t="s">
        <v>295</v>
      </c>
      <c r="F105">
        <v>4</v>
      </c>
      <c r="G105">
        <v>100</v>
      </c>
      <c r="H105">
        <v>400</v>
      </c>
      <c r="I105">
        <v>0.1</v>
      </c>
      <c r="J105">
        <v>60</v>
      </c>
      <c r="K105">
        <f t="shared" si="6"/>
        <v>2025</v>
      </c>
      <c r="L105">
        <f t="shared" si="7"/>
        <v>3</v>
      </c>
    </row>
    <row r="106" spans="1:12" x14ac:dyDescent="0.3">
      <c r="A106" t="s">
        <v>114</v>
      </c>
      <c r="B106" t="s">
        <v>227</v>
      </c>
      <c r="C106" t="s">
        <v>279</v>
      </c>
      <c r="D106" t="s">
        <v>292</v>
      </c>
      <c r="E106" t="s">
        <v>297</v>
      </c>
      <c r="F106">
        <v>1</v>
      </c>
      <c r="G106">
        <v>180</v>
      </c>
      <c r="H106">
        <v>180</v>
      </c>
      <c r="I106">
        <v>0.1</v>
      </c>
      <c r="J106">
        <v>27</v>
      </c>
      <c r="K106">
        <f t="shared" si="6"/>
        <v>2025</v>
      </c>
      <c r="L106">
        <f t="shared" si="7"/>
        <v>2</v>
      </c>
    </row>
    <row r="107" spans="1:12" x14ac:dyDescent="0.3">
      <c r="A107" t="s">
        <v>115</v>
      </c>
      <c r="B107" t="s">
        <v>231</v>
      </c>
      <c r="C107" t="s">
        <v>285</v>
      </c>
      <c r="D107" t="s">
        <v>292</v>
      </c>
      <c r="E107" t="s">
        <v>297</v>
      </c>
      <c r="F107">
        <v>1</v>
      </c>
      <c r="G107">
        <v>180</v>
      </c>
      <c r="H107">
        <v>180</v>
      </c>
      <c r="I107">
        <v>0</v>
      </c>
      <c r="J107">
        <v>36</v>
      </c>
      <c r="K107">
        <f t="shared" si="6"/>
        <v>2025</v>
      </c>
      <c r="L107">
        <f t="shared" si="7"/>
        <v>1</v>
      </c>
    </row>
    <row r="108" spans="1:12" x14ac:dyDescent="0.3">
      <c r="A108" t="s">
        <v>116</v>
      </c>
      <c r="B108" t="s">
        <v>230</v>
      </c>
      <c r="C108" t="s">
        <v>270</v>
      </c>
      <c r="D108" t="s">
        <v>292</v>
      </c>
      <c r="E108" t="s">
        <v>301</v>
      </c>
      <c r="F108">
        <v>4</v>
      </c>
      <c r="G108">
        <v>250</v>
      </c>
      <c r="H108">
        <v>1000</v>
      </c>
      <c r="I108">
        <v>0.1</v>
      </c>
      <c r="J108">
        <v>150</v>
      </c>
      <c r="K108">
        <f t="shared" si="6"/>
        <v>2025</v>
      </c>
      <c r="L108">
        <f t="shared" si="7"/>
        <v>1</v>
      </c>
    </row>
    <row r="109" spans="1:12" x14ac:dyDescent="0.3">
      <c r="A109" t="s">
        <v>117</v>
      </c>
      <c r="B109" t="s">
        <v>213</v>
      </c>
      <c r="C109" t="s">
        <v>287</v>
      </c>
      <c r="D109" t="s">
        <v>290</v>
      </c>
      <c r="E109" t="s">
        <v>302</v>
      </c>
      <c r="F109">
        <v>3</v>
      </c>
      <c r="G109">
        <v>60</v>
      </c>
      <c r="H109">
        <v>180</v>
      </c>
      <c r="I109">
        <v>0.05</v>
      </c>
      <c r="J109">
        <v>31.5</v>
      </c>
      <c r="K109">
        <f t="shared" si="6"/>
        <v>2025</v>
      </c>
      <c r="L109">
        <f t="shared" si="7"/>
        <v>1</v>
      </c>
    </row>
    <row r="110" spans="1:12" x14ac:dyDescent="0.3">
      <c r="A110" t="s">
        <v>118</v>
      </c>
      <c r="B110" t="s">
        <v>252</v>
      </c>
      <c r="C110" t="s">
        <v>288</v>
      </c>
      <c r="D110" t="s">
        <v>292</v>
      </c>
      <c r="E110" t="s">
        <v>297</v>
      </c>
      <c r="F110">
        <v>1</v>
      </c>
      <c r="G110">
        <v>180</v>
      </c>
      <c r="H110">
        <v>180</v>
      </c>
      <c r="I110">
        <v>0</v>
      </c>
      <c r="J110">
        <v>36</v>
      </c>
      <c r="K110">
        <f t="shared" si="6"/>
        <v>2025</v>
      </c>
      <c r="L110">
        <f t="shared" si="7"/>
        <v>1</v>
      </c>
    </row>
    <row r="111" spans="1:12" x14ac:dyDescent="0.3">
      <c r="A111" t="s">
        <v>119</v>
      </c>
      <c r="B111" t="s">
        <v>226</v>
      </c>
      <c r="C111" t="s">
        <v>283</v>
      </c>
      <c r="D111" t="s">
        <v>291</v>
      </c>
      <c r="E111" t="s">
        <v>301</v>
      </c>
      <c r="F111">
        <v>2</v>
      </c>
      <c r="G111">
        <v>250</v>
      </c>
      <c r="H111">
        <v>500</v>
      </c>
      <c r="I111">
        <v>0.05</v>
      </c>
      <c r="J111">
        <v>87.5</v>
      </c>
      <c r="K111">
        <f t="shared" si="6"/>
        <v>2025</v>
      </c>
      <c r="L111">
        <f t="shared" si="7"/>
        <v>2</v>
      </c>
    </row>
    <row r="112" spans="1:12" x14ac:dyDescent="0.3">
      <c r="A112" t="s">
        <v>120</v>
      </c>
      <c r="B112" t="s">
        <v>240</v>
      </c>
      <c r="C112" t="s">
        <v>286</v>
      </c>
      <c r="D112" t="s">
        <v>289</v>
      </c>
      <c r="E112" t="s">
        <v>299</v>
      </c>
      <c r="F112">
        <v>3</v>
      </c>
      <c r="G112">
        <v>90</v>
      </c>
      <c r="H112">
        <v>270</v>
      </c>
      <c r="I112">
        <v>0.05</v>
      </c>
      <c r="J112">
        <v>47.25</v>
      </c>
      <c r="K112">
        <f t="shared" si="6"/>
        <v>2025</v>
      </c>
      <c r="L112">
        <f t="shared" si="7"/>
        <v>2</v>
      </c>
    </row>
    <row r="113" spans="1:12" x14ac:dyDescent="0.3">
      <c r="A113" t="s">
        <v>121</v>
      </c>
      <c r="B113" t="s">
        <v>253</v>
      </c>
      <c r="C113" t="s">
        <v>282</v>
      </c>
      <c r="D113" t="s">
        <v>290</v>
      </c>
      <c r="E113" t="s">
        <v>300</v>
      </c>
      <c r="F113">
        <v>5</v>
      </c>
      <c r="G113">
        <v>130</v>
      </c>
      <c r="H113">
        <v>650</v>
      </c>
      <c r="I113">
        <v>0</v>
      </c>
      <c r="J113">
        <v>130</v>
      </c>
      <c r="K113">
        <f t="shared" si="6"/>
        <v>2025</v>
      </c>
      <c r="L113">
        <f t="shared" si="7"/>
        <v>2</v>
      </c>
    </row>
    <row r="114" spans="1:12" x14ac:dyDescent="0.3">
      <c r="A114" t="s">
        <v>122</v>
      </c>
      <c r="B114" t="s">
        <v>258</v>
      </c>
      <c r="C114" t="s">
        <v>281</v>
      </c>
      <c r="D114" t="s">
        <v>290</v>
      </c>
      <c r="E114" t="s">
        <v>301</v>
      </c>
      <c r="F114">
        <v>5</v>
      </c>
      <c r="G114">
        <v>250</v>
      </c>
      <c r="H114">
        <v>1250</v>
      </c>
      <c r="I114">
        <v>0.1</v>
      </c>
      <c r="J114">
        <v>187.5</v>
      </c>
      <c r="K114">
        <f t="shared" si="6"/>
        <v>2025</v>
      </c>
      <c r="L114">
        <f t="shared" si="7"/>
        <v>1</v>
      </c>
    </row>
    <row r="115" spans="1:12" x14ac:dyDescent="0.3">
      <c r="A115" t="s">
        <v>123</v>
      </c>
      <c r="B115" t="s">
        <v>229</v>
      </c>
      <c r="C115" t="s">
        <v>270</v>
      </c>
      <c r="D115" t="s">
        <v>289</v>
      </c>
      <c r="E115" t="s">
        <v>295</v>
      </c>
      <c r="F115">
        <v>5</v>
      </c>
      <c r="G115">
        <v>100</v>
      </c>
      <c r="H115">
        <v>500</v>
      </c>
      <c r="I115">
        <v>0.05</v>
      </c>
      <c r="J115">
        <v>87.5</v>
      </c>
      <c r="K115">
        <f t="shared" si="6"/>
        <v>2025</v>
      </c>
      <c r="L115">
        <f t="shared" si="7"/>
        <v>2</v>
      </c>
    </row>
    <row r="116" spans="1:12" x14ac:dyDescent="0.3">
      <c r="A116" t="s">
        <v>124</v>
      </c>
      <c r="B116" t="s">
        <v>260</v>
      </c>
      <c r="C116" t="s">
        <v>281</v>
      </c>
      <c r="D116" t="s">
        <v>290</v>
      </c>
      <c r="E116" t="s">
        <v>295</v>
      </c>
      <c r="F116">
        <v>4</v>
      </c>
      <c r="G116">
        <v>100</v>
      </c>
      <c r="H116">
        <v>400</v>
      </c>
      <c r="I116">
        <v>0.1</v>
      </c>
      <c r="J116">
        <v>60</v>
      </c>
      <c r="K116">
        <f t="shared" si="6"/>
        <v>2025</v>
      </c>
      <c r="L116">
        <f t="shared" si="7"/>
        <v>2</v>
      </c>
    </row>
    <row r="117" spans="1:12" x14ac:dyDescent="0.3">
      <c r="A117" t="s">
        <v>125</v>
      </c>
      <c r="B117" t="s">
        <v>243</v>
      </c>
      <c r="C117" t="s">
        <v>274</v>
      </c>
      <c r="D117" t="s">
        <v>290</v>
      </c>
      <c r="E117" t="s">
        <v>296</v>
      </c>
      <c r="F117">
        <v>3</v>
      </c>
      <c r="G117">
        <v>80</v>
      </c>
      <c r="H117">
        <v>240</v>
      </c>
      <c r="I117">
        <v>0</v>
      </c>
      <c r="J117">
        <v>48</v>
      </c>
      <c r="K117">
        <f t="shared" si="6"/>
        <v>2025</v>
      </c>
      <c r="L117">
        <f t="shared" si="7"/>
        <v>2</v>
      </c>
    </row>
    <row r="118" spans="1:12" x14ac:dyDescent="0.3">
      <c r="A118" t="s">
        <v>126</v>
      </c>
      <c r="B118" t="s">
        <v>261</v>
      </c>
      <c r="C118" t="s">
        <v>279</v>
      </c>
      <c r="D118" t="s">
        <v>292</v>
      </c>
      <c r="E118" t="s">
        <v>301</v>
      </c>
      <c r="F118">
        <v>4</v>
      </c>
      <c r="G118">
        <v>250</v>
      </c>
      <c r="H118">
        <v>1000</v>
      </c>
      <c r="I118">
        <v>0.05</v>
      </c>
      <c r="J118">
        <v>175</v>
      </c>
      <c r="K118">
        <f t="shared" si="6"/>
        <v>2025</v>
      </c>
      <c r="L118">
        <f t="shared" si="7"/>
        <v>1</v>
      </c>
    </row>
    <row r="119" spans="1:12" x14ac:dyDescent="0.3">
      <c r="A119" t="s">
        <v>127</v>
      </c>
      <c r="B119" t="s">
        <v>233</v>
      </c>
      <c r="C119" t="s">
        <v>288</v>
      </c>
      <c r="D119" t="s">
        <v>291</v>
      </c>
      <c r="E119" t="s">
        <v>295</v>
      </c>
      <c r="F119">
        <v>5</v>
      </c>
      <c r="G119">
        <v>100</v>
      </c>
      <c r="H119">
        <v>500</v>
      </c>
      <c r="I119">
        <v>0.05</v>
      </c>
      <c r="J119">
        <v>87.5</v>
      </c>
      <c r="K119">
        <f t="shared" si="6"/>
        <v>2025</v>
      </c>
      <c r="L119">
        <f t="shared" si="7"/>
        <v>1</v>
      </c>
    </row>
    <row r="120" spans="1:12" x14ac:dyDescent="0.3">
      <c r="A120" t="s">
        <v>128</v>
      </c>
      <c r="B120" t="s">
        <v>254</v>
      </c>
      <c r="C120" t="s">
        <v>279</v>
      </c>
      <c r="D120" t="s">
        <v>291</v>
      </c>
      <c r="E120" t="s">
        <v>300</v>
      </c>
      <c r="F120">
        <v>2</v>
      </c>
      <c r="G120">
        <v>130</v>
      </c>
      <c r="H120">
        <v>260</v>
      </c>
      <c r="I120">
        <v>0</v>
      </c>
      <c r="J120">
        <v>52</v>
      </c>
      <c r="K120">
        <f t="shared" si="6"/>
        <v>2025</v>
      </c>
      <c r="L120">
        <f t="shared" si="7"/>
        <v>2</v>
      </c>
    </row>
    <row r="121" spans="1:12" x14ac:dyDescent="0.3">
      <c r="A121" t="s">
        <v>129</v>
      </c>
      <c r="B121" t="s">
        <v>225</v>
      </c>
      <c r="C121" t="s">
        <v>287</v>
      </c>
      <c r="D121" t="s">
        <v>291</v>
      </c>
      <c r="E121" t="s">
        <v>298</v>
      </c>
      <c r="F121">
        <v>4</v>
      </c>
      <c r="G121">
        <v>150</v>
      </c>
      <c r="H121">
        <v>600</v>
      </c>
      <c r="I121">
        <v>0.05</v>
      </c>
      <c r="J121">
        <v>105</v>
      </c>
      <c r="K121">
        <f t="shared" si="6"/>
        <v>2025</v>
      </c>
      <c r="L121">
        <f t="shared" si="7"/>
        <v>2</v>
      </c>
    </row>
    <row r="122" spans="1:12" x14ac:dyDescent="0.3">
      <c r="A122" t="s">
        <v>130</v>
      </c>
      <c r="B122" t="s">
        <v>262</v>
      </c>
      <c r="C122" t="s">
        <v>283</v>
      </c>
      <c r="D122" t="s">
        <v>289</v>
      </c>
      <c r="E122" t="s">
        <v>302</v>
      </c>
      <c r="F122">
        <v>2</v>
      </c>
      <c r="G122">
        <v>60</v>
      </c>
      <c r="H122">
        <v>120</v>
      </c>
      <c r="I122">
        <v>0.05</v>
      </c>
      <c r="J122">
        <v>21</v>
      </c>
      <c r="K122">
        <f t="shared" si="6"/>
        <v>2025</v>
      </c>
      <c r="L122">
        <f t="shared" si="7"/>
        <v>1</v>
      </c>
    </row>
    <row r="123" spans="1:12" x14ac:dyDescent="0.3">
      <c r="A123" t="s">
        <v>131</v>
      </c>
      <c r="B123" t="s">
        <v>227</v>
      </c>
      <c r="C123" t="s">
        <v>274</v>
      </c>
      <c r="D123" t="s">
        <v>290</v>
      </c>
      <c r="E123" t="s">
        <v>295</v>
      </c>
      <c r="F123">
        <v>2</v>
      </c>
      <c r="G123">
        <v>100</v>
      </c>
      <c r="H123">
        <v>200</v>
      </c>
      <c r="I123">
        <v>0</v>
      </c>
      <c r="J123">
        <v>40</v>
      </c>
      <c r="K123">
        <f t="shared" si="6"/>
        <v>2025</v>
      </c>
      <c r="L123">
        <f t="shared" si="7"/>
        <v>2</v>
      </c>
    </row>
    <row r="124" spans="1:12" x14ac:dyDescent="0.3">
      <c r="A124" t="s">
        <v>132</v>
      </c>
      <c r="B124" t="s">
        <v>250</v>
      </c>
      <c r="C124" t="s">
        <v>270</v>
      </c>
      <c r="D124" t="s">
        <v>290</v>
      </c>
      <c r="E124" t="s">
        <v>295</v>
      </c>
      <c r="F124">
        <v>2</v>
      </c>
      <c r="G124">
        <v>100</v>
      </c>
      <c r="H124">
        <v>200</v>
      </c>
      <c r="I124">
        <v>0.1</v>
      </c>
      <c r="J124">
        <v>30</v>
      </c>
      <c r="K124">
        <f t="shared" si="6"/>
        <v>2025</v>
      </c>
      <c r="L124">
        <f t="shared" si="7"/>
        <v>2</v>
      </c>
    </row>
    <row r="125" spans="1:12" x14ac:dyDescent="0.3">
      <c r="A125" t="s">
        <v>133</v>
      </c>
      <c r="B125" t="s">
        <v>228</v>
      </c>
      <c r="C125" t="s">
        <v>269</v>
      </c>
      <c r="D125" t="s">
        <v>291</v>
      </c>
      <c r="E125" t="s">
        <v>299</v>
      </c>
      <c r="F125">
        <v>3</v>
      </c>
      <c r="G125">
        <v>90</v>
      </c>
      <c r="H125">
        <v>270</v>
      </c>
      <c r="I125">
        <v>0</v>
      </c>
      <c r="J125">
        <v>54</v>
      </c>
      <c r="K125">
        <f t="shared" si="6"/>
        <v>2025</v>
      </c>
      <c r="L125">
        <f t="shared" si="7"/>
        <v>1</v>
      </c>
    </row>
    <row r="126" spans="1:12" x14ac:dyDescent="0.3">
      <c r="A126" t="s">
        <v>134</v>
      </c>
      <c r="B126" t="s">
        <v>243</v>
      </c>
      <c r="C126" t="s">
        <v>287</v>
      </c>
      <c r="D126" t="s">
        <v>291</v>
      </c>
      <c r="E126" t="s">
        <v>294</v>
      </c>
      <c r="F126">
        <v>3</v>
      </c>
      <c r="G126">
        <v>120</v>
      </c>
      <c r="H126">
        <v>360</v>
      </c>
      <c r="I126">
        <v>0.1</v>
      </c>
      <c r="J126">
        <v>54</v>
      </c>
      <c r="K126">
        <f t="shared" si="6"/>
        <v>2025</v>
      </c>
      <c r="L126">
        <f t="shared" si="7"/>
        <v>2</v>
      </c>
    </row>
    <row r="127" spans="1:12" x14ac:dyDescent="0.3">
      <c r="A127" t="s">
        <v>135</v>
      </c>
      <c r="B127" t="s">
        <v>257</v>
      </c>
      <c r="C127" t="s">
        <v>277</v>
      </c>
      <c r="D127" t="s">
        <v>289</v>
      </c>
      <c r="E127" t="s">
        <v>293</v>
      </c>
      <c r="F127">
        <v>1</v>
      </c>
      <c r="G127">
        <v>220</v>
      </c>
      <c r="H127">
        <v>220</v>
      </c>
      <c r="I127">
        <v>0</v>
      </c>
      <c r="J127">
        <v>44</v>
      </c>
      <c r="K127">
        <f t="shared" si="6"/>
        <v>2025</v>
      </c>
      <c r="L127">
        <f t="shared" si="7"/>
        <v>1</v>
      </c>
    </row>
    <row r="128" spans="1:12" x14ac:dyDescent="0.3">
      <c r="A128" t="s">
        <v>136</v>
      </c>
      <c r="B128" t="s">
        <v>263</v>
      </c>
      <c r="C128" t="s">
        <v>285</v>
      </c>
      <c r="D128" t="s">
        <v>289</v>
      </c>
      <c r="E128" t="s">
        <v>297</v>
      </c>
      <c r="F128">
        <v>2</v>
      </c>
      <c r="G128">
        <v>180</v>
      </c>
      <c r="H128">
        <v>360</v>
      </c>
      <c r="I128">
        <v>0</v>
      </c>
      <c r="J128">
        <v>72</v>
      </c>
      <c r="K128">
        <f t="shared" si="6"/>
        <v>2025</v>
      </c>
      <c r="L128">
        <f t="shared" si="7"/>
        <v>1</v>
      </c>
    </row>
    <row r="129" spans="1:12" x14ac:dyDescent="0.3">
      <c r="A129" t="s">
        <v>137</v>
      </c>
      <c r="B129" t="s">
        <v>255</v>
      </c>
      <c r="C129" t="s">
        <v>281</v>
      </c>
      <c r="D129" t="s">
        <v>289</v>
      </c>
      <c r="E129" t="s">
        <v>298</v>
      </c>
      <c r="F129">
        <v>2</v>
      </c>
      <c r="G129">
        <v>150</v>
      </c>
      <c r="H129">
        <v>300</v>
      </c>
      <c r="I129">
        <v>0.1</v>
      </c>
      <c r="J129">
        <v>45</v>
      </c>
      <c r="K129">
        <f t="shared" si="6"/>
        <v>2025</v>
      </c>
      <c r="L129">
        <f t="shared" si="7"/>
        <v>2</v>
      </c>
    </row>
    <row r="130" spans="1:12" x14ac:dyDescent="0.3">
      <c r="A130" t="s">
        <v>138</v>
      </c>
      <c r="B130" t="s">
        <v>221</v>
      </c>
      <c r="C130" t="s">
        <v>274</v>
      </c>
      <c r="D130" t="s">
        <v>290</v>
      </c>
      <c r="E130" t="s">
        <v>293</v>
      </c>
      <c r="F130">
        <v>4</v>
      </c>
      <c r="G130">
        <v>220</v>
      </c>
      <c r="H130">
        <v>880</v>
      </c>
      <c r="I130">
        <v>0.05</v>
      </c>
      <c r="J130">
        <v>154</v>
      </c>
      <c r="K130">
        <f t="shared" ref="K130:K161" si="8">YEAR(B130)</f>
        <v>2025</v>
      </c>
      <c r="L130">
        <f t="shared" ref="L130:L161" si="9">MONTH(B130)</f>
        <v>2</v>
      </c>
    </row>
    <row r="131" spans="1:12" x14ac:dyDescent="0.3">
      <c r="A131" t="s">
        <v>139</v>
      </c>
      <c r="B131" t="s">
        <v>264</v>
      </c>
      <c r="C131" t="s">
        <v>285</v>
      </c>
      <c r="D131" t="s">
        <v>292</v>
      </c>
      <c r="E131" t="s">
        <v>294</v>
      </c>
      <c r="F131">
        <v>3</v>
      </c>
      <c r="G131">
        <v>120</v>
      </c>
      <c r="H131">
        <v>360</v>
      </c>
      <c r="I131">
        <v>0</v>
      </c>
      <c r="J131">
        <v>72</v>
      </c>
      <c r="K131">
        <f t="shared" si="8"/>
        <v>2025</v>
      </c>
      <c r="L131">
        <f t="shared" si="9"/>
        <v>1</v>
      </c>
    </row>
    <row r="132" spans="1:12" x14ac:dyDescent="0.3">
      <c r="A132" t="s">
        <v>140</v>
      </c>
      <c r="B132" t="s">
        <v>256</v>
      </c>
      <c r="C132" t="s">
        <v>287</v>
      </c>
      <c r="D132" t="s">
        <v>289</v>
      </c>
      <c r="E132" t="s">
        <v>298</v>
      </c>
      <c r="F132">
        <v>3</v>
      </c>
      <c r="G132">
        <v>150</v>
      </c>
      <c r="H132">
        <v>450</v>
      </c>
      <c r="I132">
        <v>0.1</v>
      </c>
      <c r="J132">
        <v>67.5</v>
      </c>
      <c r="K132">
        <f t="shared" si="8"/>
        <v>2025</v>
      </c>
      <c r="L132">
        <f t="shared" si="9"/>
        <v>1</v>
      </c>
    </row>
    <row r="133" spans="1:12" x14ac:dyDescent="0.3">
      <c r="A133" t="s">
        <v>141</v>
      </c>
      <c r="B133" t="s">
        <v>265</v>
      </c>
      <c r="C133" t="s">
        <v>276</v>
      </c>
      <c r="D133" t="s">
        <v>290</v>
      </c>
      <c r="E133" t="s">
        <v>300</v>
      </c>
      <c r="F133">
        <v>3</v>
      </c>
      <c r="G133">
        <v>130</v>
      </c>
      <c r="H133">
        <v>390</v>
      </c>
      <c r="I133">
        <v>0.05</v>
      </c>
      <c r="J133">
        <v>68.25</v>
      </c>
      <c r="K133">
        <f t="shared" si="8"/>
        <v>2025</v>
      </c>
      <c r="L133">
        <f t="shared" si="9"/>
        <v>1</v>
      </c>
    </row>
    <row r="134" spans="1:12" x14ac:dyDescent="0.3">
      <c r="A134" t="s">
        <v>142</v>
      </c>
      <c r="B134" t="s">
        <v>249</v>
      </c>
      <c r="C134" t="s">
        <v>278</v>
      </c>
      <c r="D134" t="s">
        <v>290</v>
      </c>
      <c r="E134" t="s">
        <v>293</v>
      </c>
      <c r="F134">
        <v>5</v>
      </c>
      <c r="G134">
        <v>220</v>
      </c>
      <c r="H134">
        <v>1100</v>
      </c>
      <c r="I134">
        <v>0.05</v>
      </c>
      <c r="J134">
        <v>192.5</v>
      </c>
      <c r="K134">
        <f t="shared" si="8"/>
        <v>2025</v>
      </c>
      <c r="L134">
        <f t="shared" si="9"/>
        <v>1</v>
      </c>
    </row>
    <row r="135" spans="1:12" x14ac:dyDescent="0.3">
      <c r="A135" t="s">
        <v>143</v>
      </c>
      <c r="B135" t="s">
        <v>244</v>
      </c>
      <c r="C135" t="s">
        <v>286</v>
      </c>
      <c r="D135" t="s">
        <v>292</v>
      </c>
      <c r="E135" t="s">
        <v>293</v>
      </c>
      <c r="F135">
        <v>2</v>
      </c>
      <c r="G135">
        <v>220</v>
      </c>
      <c r="H135">
        <v>440</v>
      </c>
      <c r="I135">
        <v>0.05</v>
      </c>
      <c r="J135">
        <v>77</v>
      </c>
      <c r="K135">
        <f t="shared" si="8"/>
        <v>2025</v>
      </c>
      <c r="L135">
        <f t="shared" si="9"/>
        <v>1</v>
      </c>
    </row>
    <row r="136" spans="1:12" x14ac:dyDescent="0.3">
      <c r="A136" t="s">
        <v>144</v>
      </c>
      <c r="B136" t="s">
        <v>239</v>
      </c>
      <c r="C136" t="s">
        <v>282</v>
      </c>
      <c r="D136" t="s">
        <v>289</v>
      </c>
      <c r="E136" t="s">
        <v>293</v>
      </c>
      <c r="F136">
        <v>4</v>
      </c>
      <c r="G136">
        <v>220</v>
      </c>
      <c r="H136">
        <v>880</v>
      </c>
      <c r="I136">
        <v>0</v>
      </c>
      <c r="J136">
        <v>176</v>
      </c>
      <c r="K136">
        <f t="shared" si="8"/>
        <v>2025</v>
      </c>
      <c r="L136">
        <f t="shared" si="9"/>
        <v>2</v>
      </c>
    </row>
    <row r="137" spans="1:12" x14ac:dyDescent="0.3">
      <c r="A137" t="s">
        <v>145</v>
      </c>
      <c r="B137" t="s">
        <v>215</v>
      </c>
      <c r="C137" t="s">
        <v>284</v>
      </c>
      <c r="D137" t="s">
        <v>289</v>
      </c>
      <c r="E137" t="s">
        <v>300</v>
      </c>
      <c r="F137">
        <v>4</v>
      </c>
      <c r="G137">
        <v>130</v>
      </c>
      <c r="H137">
        <v>520</v>
      </c>
      <c r="I137">
        <v>0.05</v>
      </c>
      <c r="J137">
        <v>91</v>
      </c>
      <c r="K137">
        <f t="shared" si="8"/>
        <v>2025</v>
      </c>
      <c r="L137">
        <f t="shared" si="9"/>
        <v>1</v>
      </c>
    </row>
    <row r="138" spans="1:12" x14ac:dyDescent="0.3">
      <c r="A138" t="s">
        <v>146</v>
      </c>
      <c r="B138" t="s">
        <v>237</v>
      </c>
      <c r="C138" t="s">
        <v>273</v>
      </c>
      <c r="D138" t="s">
        <v>292</v>
      </c>
      <c r="E138" t="s">
        <v>295</v>
      </c>
      <c r="F138">
        <v>2</v>
      </c>
      <c r="G138">
        <v>100</v>
      </c>
      <c r="H138">
        <v>200</v>
      </c>
      <c r="I138">
        <v>0</v>
      </c>
      <c r="J138">
        <v>40</v>
      </c>
      <c r="K138">
        <f t="shared" si="8"/>
        <v>2025</v>
      </c>
      <c r="L138">
        <f t="shared" si="9"/>
        <v>1</v>
      </c>
    </row>
    <row r="139" spans="1:12" x14ac:dyDescent="0.3">
      <c r="A139" t="s">
        <v>147</v>
      </c>
      <c r="B139" t="s">
        <v>223</v>
      </c>
      <c r="C139" t="s">
        <v>279</v>
      </c>
      <c r="D139" t="s">
        <v>290</v>
      </c>
      <c r="E139" t="s">
        <v>302</v>
      </c>
      <c r="F139">
        <v>5</v>
      </c>
      <c r="G139">
        <v>60</v>
      </c>
      <c r="H139">
        <v>300</v>
      </c>
      <c r="I139">
        <v>0</v>
      </c>
      <c r="J139">
        <v>60</v>
      </c>
      <c r="K139">
        <f t="shared" si="8"/>
        <v>2025</v>
      </c>
      <c r="L139">
        <f t="shared" si="9"/>
        <v>1</v>
      </c>
    </row>
    <row r="140" spans="1:12" x14ac:dyDescent="0.3">
      <c r="A140" t="s">
        <v>148</v>
      </c>
      <c r="B140" t="s">
        <v>231</v>
      </c>
      <c r="C140" t="s">
        <v>278</v>
      </c>
      <c r="D140" t="s">
        <v>292</v>
      </c>
      <c r="E140" t="s">
        <v>297</v>
      </c>
      <c r="F140">
        <v>4</v>
      </c>
      <c r="G140">
        <v>180</v>
      </c>
      <c r="H140">
        <v>720</v>
      </c>
      <c r="I140">
        <v>0.1</v>
      </c>
      <c r="J140">
        <v>108</v>
      </c>
      <c r="K140">
        <f t="shared" si="8"/>
        <v>2025</v>
      </c>
      <c r="L140">
        <f t="shared" si="9"/>
        <v>1</v>
      </c>
    </row>
    <row r="141" spans="1:12" x14ac:dyDescent="0.3">
      <c r="A141" t="s">
        <v>149</v>
      </c>
      <c r="B141" t="s">
        <v>265</v>
      </c>
      <c r="C141" t="s">
        <v>282</v>
      </c>
      <c r="D141" t="s">
        <v>291</v>
      </c>
      <c r="E141" t="s">
        <v>294</v>
      </c>
      <c r="F141">
        <v>1</v>
      </c>
      <c r="G141">
        <v>120</v>
      </c>
      <c r="H141">
        <v>120</v>
      </c>
      <c r="I141">
        <v>0.1</v>
      </c>
      <c r="J141">
        <v>18</v>
      </c>
      <c r="K141">
        <f t="shared" si="8"/>
        <v>2025</v>
      </c>
      <c r="L141">
        <f t="shared" si="9"/>
        <v>1</v>
      </c>
    </row>
    <row r="142" spans="1:12" x14ac:dyDescent="0.3">
      <c r="A142" t="s">
        <v>150</v>
      </c>
      <c r="B142" t="s">
        <v>254</v>
      </c>
      <c r="C142" t="s">
        <v>270</v>
      </c>
      <c r="D142" t="s">
        <v>292</v>
      </c>
      <c r="E142" t="s">
        <v>302</v>
      </c>
      <c r="F142">
        <v>1</v>
      </c>
      <c r="G142">
        <v>60</v>
      </c>
      <c r="H142">
        <v>60</v>
      </c>
      <c r="I142">
        <v>0</v>
      </c>
      <c r="J142">
        <v>12</v>
      </c>
      <c r="K142">
        <f t="shared" si="8"/>
        <v>2025</v>
      </c>
      <c r="L142">
        <f t="shared" si="9"/>
        <v>2</v>
      </c>
    </row>
    <row r="143" spans="1:12" x14ac:dyDescent="0.3">
      <c r="A143" t="s">
        <v>151</v>
      </c>
      <c r="B143" t="s">
        <v>226</v>
      </c>
      <c r="C143" t="s">
        <v>280</v>
      </c>
      <c r="D143" t="s">
        <v>292</v>
      </c>
      <c r="E143" t="s">
        <v>300</v>
      </c>
      <c r="F143">
        <v>5</v>
      </c>
      <c r="G143">
        <v>130</v>
      </c>
      <c r="H143">
        <v>650</v>
      </c>
      <c r="I143">
        <v>0</v>
      </c>
      <c r="J143">
        <v>130</v>
      </c>
      <c r="K143">
        <f t="shared" si="8"/>
        <v>2025</v>
      </c>
      <c r="L143">
        <f t="shared" si="9"/>
        <v>2</v>
      </c>
    </row>
    <row r="144" spans="1:12" x14ac:dyDescent="0.3">
      <c r="A144" t="s">
        <v>152</v>
      </c>
      <c r="B144" t="s">
        <v>225</v>
      </c>
      <c r="C144" t="s">
        <v>279</v>
      </c>
      <c r="D144" t="s">
        <v>289</v>
      </c>
      <c r="E144" t="s">
        <v>300</v>
      </c>
      <c r="F144">
        <v>1</v>
      </c>
      <c r="G144">
        <v>130</v>
      </c>
      <c r="H144">
        <v>130</v>
      </c>
      <c r="I144">
        <v>0.1</v>
      </c>
      <c r="J144">
        <v>19.5</v>
      </c>
      <c r="K144">
        <f t="shared" si="8"/>
        <v>2025</v>
      </c>
      <c r="L144">
        <f t="shared" si="9"/>
        <v>2</v>
      </c>
    </row>
    <row r="145" spans="1:12" x14ac:dyDescent="0.3">
      <c r="A145" t="s">
        <v>153</v>
      </c>
      <c r="B145" t="s">
        <v>243</v>
      </c>
      <c r="C145" t="s">
        <v>281</v>
      </c>
      <c r="D145" t="s">
        <v>290</v>
      </c>
      <c r="E145" t="s">
        <v>298</v>
      </c>
      <c r="F145">
        <v>5</v>
      </c>
      <c r="G145">
        <v>150</v>
      </c>
      <c r="H145">
        <v>750</v>
      </c>
      <c r="I145">
        <v>0.1</v>
      </c>
      <c r="J145">
        <v>112.5</v>
      </c>
      <c r="K145">
        <f t="shared" si="8"/>
        <v>2025</v>
      </c>
      <c r="L145">
        <f t="shared" si="9"/>
        <v>2</v>
      </c>
    </row>
    <row r="146" spans="1:12" x14ac:dyDescent="0.3">
      <c r="A146" t="s">
        <v>154</v>
      </c>
      <c r="B146" t="s">
        <v>260</v>
      </c>
      <c r="C146" t="s">
        <v>286</v>
      </c>
      <c r="D146" t="s">
        <v>290</v>
      </c>
      <c r="E146" t="s">
        <v>301</v>
      </c>
      <c r="F146">
        <v>4</v>
      </c>
      <c r="G146">
        <v>250</v>
      </c>
      <c r="H146">
        <v>1000</v>
      </c>
      <c r="I146">
        <v>0</v>
      </c>
      <c r="J146">
        <v>200</v>
      </c>
      <c r="K146">
        <f t="shared" si="8"/>
        <v>2025</v>
      </c>
      <c r="L146">
        <f t="shared" si="9"/>
        <v>2</v>
      </c>
    </row>
    <row r="147" spans="1:12" x14ac:dyDescent="0.3">
      <c r="A147" t="s">
        <v>155</v>
      </c>
      <c r="B147" t="s">
        <v>218</v>
      </c>
      <c r="C147" t="s">
        <v>281</v>
      </c>
      <c r="D147" t="s">
        <v>292</v>
      </c>
      <c r="E147" t="s">
        <v>300</v>
      </c>
      <c r="F147">
        <v>1</v>
      </c>
      <c r="G147">
        <v>130</v>
      </c>
      <c r="H147">
        <v>130</v>
      </c>
      <c r="I147">
        <v>0.05</v>
      </c>
      <c r="J147">
        <v>22.75</v>
      </c>
      <c r="K147">
        <f t="shared" si="8"/>
        <v>2025</v>
      </c>
      <c r="L147">
        <f t="shared" si="9"/>
        <v>1</v>
      </c>
    </row>
    <row r="148" spans="1:12" x14ac:dyDescent="0.3">
      <c r="A148" t="s">
        <v>156</v>
      </c>
      <c r="B148" t="s">
        <v>249</v>
      </c>
      <c r="C148" t="s">
        <v>274</v>
      </c>
      <c r="D148" t="s">
        <v>290</v>
      </c>
      <c r="E148" t="s">
        <v>299</v>
      </c>
      <c r="F148">
        <v>2</v>
      </c>
      <c r="G148">
        <v>90</v>
      </c>
      <c r="H148">
        <v>180</v>
      </c>
      <c r="I148">
        <v>0.1</v>
      </c>
      <c r="J148">
        <v>27</v>
      </c>
      <c r="K148">
        <f t="shared" si="8"/>
        <v>2025</v>
      </c>
      <c r="L148">
        <f t="shared" si="9"/>
        <v>1</v>
      </c>
    </row>
    <row r="149" spans="1:12" x14ac:dyDescent="0.3">
      <c r="A149" t="s">
        <v>157</v>
      </c>
      <c r="B149" t="s">
        <v>229</v>
      </c>
      <c r="C149" t="s">
        <v>288</v>
      </c>
      <c r="D149" t="s">
        <v>290</v>
      </c>
      <c r="E149" t="s">
        <v>294</v>
      </c>
      <c r="F149">
        <v>4</v>
      </c>
      <c r="G149">
        <v>120</v>
      </c>
      <c r="H149">
        <v>480</v>
      </c>
      <c r="I149">
        <v>0.05</v>
      </c>
      <c r="J149">
        <v>84</v>
      </c>
      <c r="K149">
        <f t="shared" si="8"/>
        <v>2025</v>
      </c>
      <c r="L149">
        <f t="shared" si="9"/>
        <v>2</v>
      </c>
    </row>
    <row r="150" spans="1:12" x14ac:dyDescent="0.3">
      <c r="A150" t="s">
        <v>158</v>
      </c>
      <c r="B150" t="s">
        <v>263</v>
      </c>
      <c r="C150" t="s">
        <v>283</v>
      </c>
      <c r="D150" t="s">
        <v>292</v>
      </c>
      <c r="E150" t="s">
        <v>297</v>
      </c>
      <c r="F150">
        <v>3</v>
      </c>
      <c r="G150">
        <v>180</v>
      </c>
      <c r="H150">
        <v>540</v>
      </c>
      <c r="I150">
        <v>0</v>
      </c>
      <c r="J150">
        <v>108</v>
      </c>
      <c r="K150">
        <f t="shared" si="8"/>
        <v>2025</v>
      </c>
      <c r="L150">
        <f t="shared" si="9"/>
        <v>1</v>
      </c>
    </row>
    <row r="151" spans="1:12" x14ac:dyDescent="0.3">
      <c r="A151" t="s">
        <v>159</v>
      </c>
      <c r="B151" t="s">
        <v>225</v>
      </c>
      <c r="C151" t="s">
        <v>277</v>
      </c>
      <c r="D151" t="s">
        <v>290</v>
      </c>
      <c r="E151" t="s">
        <v>300</v>
      </c>
      <c r="F151">
        <v>3</v>
      </c>
      <c r="G151">
        <v>130</v>
      </c>
      <c r="H151">
        <v>390</v>
      </c>
      <c r="I151">
        <v>0.1</v>
      </c>
      <c r="J151">
        <v>58.5</v>
      </c>
      <c r="K151">
        <f t="shared" si="8"/>
        <v>2025</v>
      </c>
      <c r="L151">
        <f t="shared" si="9"/>
        <v>2</v>
      </c>
    </row>
    <row r="152" spans="1:12" x14ac:dyDescent="0.3">
      <c r="A152" t="s">
        <v>160</v>
      </c>
      <c r="B152" t="s">
        <v>222</v>
      </c>
      <c r="C152" t="s">
        <v>288</v>
      </c>
      <c r="D152" t="s">
        <v>291</v>
      </c>
      <c r="E152" t="s">
        <v>297</v>
      </c>
      <c r="F152">
        <v>5</v>
      </c>
      <c r="G152">
        <v>180</v>
      </c>
      <c r="H152">
        <v>900</v>
      </c>
      <c r="I152">
        <v>0</v>
      </c>
      <c r="J152">
        <v>180</v>
      </c>
      <c r="K152">
        <f t="shared" si="8"/>
        <v>2025</v>
      </c>
      <c r="L152">
        <f t="shared" si="9"/>
        <v>1</v>
      </c>
    </row>
    <row r="153" spans="1:12" x14ac:dyDescent="0.3">
      <c r="A153" t="s">
        <v>161</v>
      </c>
      <c r="B153" t="s">
        <v>262</v>
      </c>
      <c r="C153" t="s">
        <v>283</v>
      </c>
      <c r="D153" t="s">
        <v>292</v>
      </c>
      <c r="E153" t="s">
        <v>296</v>
      </c>
      <c r="F153">
        <v>4</v>
      </c>
      <c r="G153">
        <v>80</v>
      </c>
      <c r="H153">
        <v>320</v>
      </c>
      <c r="I153">
        <v>0</v>
      </c>
      <c r="J153">
        <v>64</v>
      </c>
      <c r="K153">
        <f t="shared" si="8"/>
        <v>2025</v>
      </c>
      <c r="L153">
        <f t="shared" si="9"/>
        <v>1</v>
      </c>
    </row>
    <row r="154" spans="1:12" x14ac:dyDescent="0.3">
      <c r="A154" t="s">
        <v>162</v>
      </c>
      <c r="B154" t="s">
        <v>266</v>
      </c>
      <c r="C154" t="s">
        <v>275</v>
      </c>
      <c r="D154" t="s">
        <v>290</v>
      </c>
      <c r="E154" t="s">
        <v>300</v>
      </c>
      <c r="F154">
        <v>2</v>
      </c>
      <c r="G154">
        <v>130</v>
      </c>
      <c r="H154">
        <v>260</v>
      </c>
      <c r="I154">
        <v>0.05</v>
      </c>
      <c r="J154">
        <v>45.5</v>
      </c>
      <c r="K154">
        <f t="shared" si="8"/>
        <v>2025</v>
      </c>
      <c r="L154">
        <f t="shared" si="9"/>
        <v>1</v>
      </c>
    </row>
    <row r="155" spans="1:12" x14ac:dyDescent="0.3">
      <c r="A155" t="s">
        <v>163</v>
      </c>
      <c r="B155" t="s">
        <v>261</v>
      </c>
      <c r="C155" t="s">
        <v>286</v>
      </c>
      <c r="D155" t="s">
        <v>290</v>
      </c>
      <c r="E155" t="s">
        <v>293</v>
      </c>
      <c r="F155">
        <v>3</v>
      </c>
      <c r="G155">
        <v>220</v>
      </c>
      <c r="H155">
        <v>660</v>
      </c>
      <c r="I155">
        <v>0.05</v>
      </c>
      <c r="J155">
        <v>115.5</v>
      </c>
      <c r="K155">
        <f t="shared" si="8"/>
        <v>2025</v>
      </c>
      <c r="L155">
        <f t="shared" si="9"/>
        <v>1</v>
      </c>
    </row>
    <row r="156" spans="1:12" x14ac:dyDescent="0.3">
      <c r="A156" t="s">
        <v>164</v>
      </c>
      <c r="B156" t="s">
        <v>225</v>
      </c>
      <c r="C156" t="s">
        <v>278</v>
      </c>
      <c r="D156" t="s">
        <v>291</v>
      </c>
      <c r="E156" t="s">
        <v>298</v>
      </c>
      <c r="F156">
        <v>4</v>
      </c>
      <c r="G156">
        <v>150</v>
      </c>
      <c r="H156">
        <v>600</v>
      </c>
      <c r="I156">
        <v>0.1</v>
      </c>
      <c r="J156">
        <v>90</v>
      </c>
      <c r="K156">
        <f t="shared" si="8"/>
        <v>2025</v>
      </c>
      <c r="L156">
        <f t="shared" si="9"/>
        <v>2</v>
      </c>
    </row>
    <row r="157" spans="1:12" x14ac:dyDescent="0.3">
      <c r="A157" t="s">
        <v>165</v>
      </c>
      <c r="B157" t="s">
        <v>263</v>
      </c>
      <c r="C157" t="s">
        <v>285</v>
      </c>
      <c r="D157" t="s">
        <v>290</v>
      </c>
      <c r="E157" t="s">
        <v>297</v>
      </c>
      <c r="F157">
        <v>4</v>
      </c>
      <c r="G157">
        <v>180</v>
      </c>
      <c r="H157">
        <v>720</v>
      </c>
      <c r="I157">
        <v>0</v>
      </c>
      <c r="J157">
        <v>144</v>
      </c>
      <c r="K157">
        <f t="shared" si="8"/>
        <v>2025</v>
      </c>
      <c r="L157">
        <f t="shared" si="9"/>
        <v>1</v>
      </c>
    </row>
    <row r="158" spans="1:12" x14ac:dyDescent="0.3">
      <c r="A158" t="s">
        <v>166</v>
      </c>
      <c r="B158" t="s">
        <v>237</v>
      </c>
      <c r="C158" t="s">
        <v>279</v>
      </c>
      <c r="D158" t="s">
        <v>292</v>
      </c>
      <c r="E158" t="s">
        <v>300</v>
      </c>
      <c r="F158">
        <v>1</v>
      </c>
      <c r="G158">
        <v>130</v>
      </c>
      <c r="H158">
        <v>130</v>
      </c>
      <c r="I158">
        <v>0</v>
      </c>
      <c r="J158">
        <v>26</v>
      </c>
      <c r="K158">
        <f t="shared" si="8"/>
        <v>2025</v>
      </c>
      <c r="L158">
        <f t="shared" si="9"/>
        <v>1</v>
      </c>
    </row>
    <row r="159" spans="1:12" x14ac:dyDescent="0.3">
      <c r="A159" t="s">
        <v>167</v>
      </c>
      <c r="B159" t="s">
        <v>226</v>
      </c>
      <c r="C159" t="s">
        <v>274</v>
      </c>
      <c r="D159" t="s">
        <v>291</v>
      </c>
      <c r="E159" t="s">
        <v>297</v>
      </c>
      <c r="F159">
        <v>5</v>
      </c>
      <c r="G159">
        <v>180</v>
      </c>
      <c r="H159">
        <v>900</v>
      </c>
      <c r="I159">
        <v>0</v>
      </c>
      <c r="J159">
        <v>180</v>
      </c>
      <c r="K159">
        <f t="shared" si="8"/>
        <v>2025</v>
      </c>
      <c r="L159">
        <f t="shared" si="9"/>
        <v>2</v>
      </c>
    </row>
    <row r="160" spans="1:12" x14ac:dyDescent="0.3">
      <c r="A160" t="s">
        <v>168</v>
      </c>
      <c r="B160" t="s">
        <v>229</v>
      </c>
      <c r="C160" t="s">
        <v>285</v>
      </c>
      <c r="D160" t="s">
        <v>292</v>
      </c>
      <c r="E160" t="s">
        <v>295</v>
      </c>
      <c r="F160">
        <v>1</v>
      </c>
      <c r="G160">
        <v>100</v>
      </c>
      <c r="H160">
        <v>100</v>
      </c>
      <c r="I160">
        <v>0</v>
      </c>
      <c r="J160">
        <v>20</v>
      </c>
      <c r="K160">
        <f t="shared" si="8"/>
        <v>2025</v>
      </c>
      <c r="L160">
        <f t="shared" si="9"/>
        <v>2</v>
      </c>
    </row>
    <row r="161" spans="1:12" x14ac:dyDescent="0.3">
      <c r="A161" t="s">
        <v>169</v>
      </c>
      <c r="B161" t="s">
        <v>229</v>
      </c>
      <c r="C161" t="s">
        <v>275</v>
      </c>
      <c r="D161" t="s">
        <v>289</v>
      </c>
      <c r="E161" t="s">
        <v>293</v>
      </c>
      <c r="F161">
        <v>5</v>
      </c>
      <c r="G161">
        <v>220</v>
      </c>
      <c r="H161">
        <v>1100</v>
      </c>
      <c r="I161">
        <v>0.1</v>
      </c>
      <c r="J161">
        <v>165</v>
      </c>
      <c r="K161">
        <f t="shared" si="8"/>
        <v>2025</v>
      </c>
      <c r="L161">
        <f t="shared" si="9"/>
        <v>2</v>
      </c>
    </row>
    <row r="162" spans="1:12" x14ac:dyDescent="0.3">
      <c r="A162" t="s">
        <v>170</v>
      </c>
      <c r="B162" t="s">
        <v>267</v>
      </c>
      <c r="C162" t="s">
        <v>270</v>
      </c>
      <c r="D162" t="s">
        <v>292</v>
      </c>
      <c r="E162" t="s">
        <v>295</v>
      </c>
      <c r="F162">
        <v>4</v>
      </c>
      <c r="G162">
        <v>100</v>
      </c>
      <c r="H162">
        <v>400</v>
      </c>
      <c r="I162">
        <v>0</v>
      </c>
      <c r="J162">
        <v>80</v>
      </c>
      <c r="K162">
        <f t="shared" ref="K162:K193" si="10">YEAR(B162)</f>
        <v>2025</v>
      </c>
      <c r="L162">
        <f t="shared" ref="L162:L193" si="11">MONTH(B162)</f>
        <v>2</v>
      </c>
    </row>
    <row r="163" spans="1:12" x14ac:dyDescent="0.3">
      <c r="A163" t="s">
        <v>171</v>
      </c>
      <c r="B163" t="s">
        <v>213</v>
      </c>
      <c r="C163" t="s">
        <v>281</v>
      </c>
      <c r="D163" t="s">
        <v>292</v>
      </c>
      <c r="E163" t="s">
        <v>302</v>
      </c>
      <c r="F163">
        <v>2</v>
      </c>
      <c r="G163">
        <v>60</v>
      </c>
      <c r="H163">
        <v>120</v>
      </c>
      <c r="I163">
        <v>0.05</v>
      </c>
      <c r="J163">
        <v>21</v>
      </c>
      <c r="K163">
        <f t="shared" si="10"/>
        <v>2025</v>
      </c>
      <c r="L163">
        <f t="shared" si="11"/>
        <v>1</v>
      </c>
    </row>
    <row r="164" spans="1:12" x14ac:dyDescent="0.3">
      <c r="A164" t="s">
        <v>172</v>
      </c>
      <c r="B164" t="s">
        <v>224</v>
      </c>
      <c r="C164" t="s">
        <v>271</v>
      </c>
      <c r="D164" t="s">
        <v>290</v>
      </c>
      <c r="E164" t="s">
        <v>294</v>
      </c>
      <c r="F164">
        <v>2</v>
      </c>
      <c r="G164">
        <v>120</v>
      </c>
      <c r="H164">
        <v>240</v>
      </c>
      <c r="I164">
        <v>0.05</v>
      </c>
      <c r="J164">
        <v>42</v>
      </c>
      <c r="K164">
        <f t="shared" si="10"/>
        <v>2025</v>
      </c>
      <c r="L164">
        <f t="shared" si="11"/>
        <v>2</v>
      </c>
    </row>
    <row r="165" spans="1:12" x14ac:dyDescent="0.3">
      <c r="A165" t="s">
        <v>173</v>
      </c>
      <c r="B165" t="s">
        <v>226</v>
      </c>
      <c r="C165" t="s">
        <v>279</v>
      </c>
      <c r="D165" t="s">
        <v>291</v>
      </c>
      <c r="E165" t="s">
        <v>301</v>
      </c>
      <c r="F165">
        <v>1</v>
      </c>
      <c r="G165">
        <v>250</v>
      </c>
      <c r="H165">
        <v>250</v>
      </c>
      <c r="I165">
        <v>0.1</v>
      </c>
      <c r="J165">
        <v>37.5</v>
      </c>
      <c r="K165">
        <f t="shared" si="10"/>
        <v>2025</v>
      </c>
      <c r="L165">
        <f t="shared" si="11"/>
        <v>2</v>
      </c>
    </row>
    <row r="166" spans="1:12" x14ac:dyDescent="0.3">
      <c r="A166" t="s">
        <v>174</v>
      </c>
      <c r="B166" t="s">
        <v>248</v>
      </c>
      <c r="C166" t="s">
        <v>279</v>
      </c>
      <c r="D166" t="s">
        <v>289</v>
      </c>
      <c r="E166" t="s">
        <v>297</v>
      </c>
      <c r="F166">
        <v>1</v>
      </c>
      <c r="G166">
        <v>180</v>
      </c>
      <c r="H166">
        <v>180</v>
      </c>
      <c r="I166">
        <v>0.1</v>
      </c>
      <c r="J166">
        <v>27</v>
      </c>
      <c r="K166">
        <f t="shared" si="10"/>
        <v>2025</v>
      </c>
      <c r="L166">
        <f t="shared" si="11"/>
        <v>2</v>
      </c>
    </row>
    <row r="167" spans="1:12" x14ac:dyDescent="0.3">
      <c r="A167" t="s">
        <v>175</v>
      </c>
      <c r="B167" t="s">
        <v>216</v>
      </c>
      <c r="C167" t="s">
        <v>281</v>
      </c>
      <c r="D167" t="s">
        <v>289</v>
      </c>
      <c r="E167" t="s">
        <v>300</v>
      </c>
      <c r="F167">
        <v>1</v>
      </c>
      <c r="G167">
        <v>130</v>
      </c>
      <c r="H167">
        <v>130</v>
      </c>
      <c r="I167">
        <v>0</v>
      </c>
      <c r="J167">
        <v>26</v>
      </c>
      <c r="K167">
        <f t="shared" si="10"/>
        <v>2025</v>
      </c>
      <c r="L167">
        <f t="shared" si="11"/>
        <v>2</v>
      </c>
    </row>
    <row r="168" spans="1:12" x14ac:dyDescent="0.3">
      <c r="A168" t="s">
        <v>176</v>
      </c>
      <c r="B168" t="s">
        <v>265</v>
      </c>
      <c r="C168" t="s">
        <v>282</v>
      </c>
      <c r="D168" t="s">
        <v>290</v>
      </c>
      <c r="E168" t="s">
        <v>295</v>
      </c>
      <c r="F168">
        <v>3</v>
      </c>
      <c r="G168">
        <v>100</v>
      </c>
      <c r="H168">
        <v>300</v>
      </c>
      <c r="I168">
        <v>0</v>
      </c>
      <c r="J168">
        <v>60</v>
      </c>
      <c r="K168">
        <f t="shared" si="10"/>
        <v>2025</v>
      </c>
      <c r="L168">
        <f t="shared" si="11"/>
        <v>1</v>
      </c>
    </row>
    <row r="169" spans="1:12" x14ac:dyDescent="0.3">
      <c r="A169" t="s">
        <v>177</v>
      </c>
      <c r="B169" t="s">
        <v>256</v>
      </c>
      <c r="C169" t="s">
        <v>270</v>
      </c>
      <c r="D169" t="s">
        <v>290</v>
      </c>
      <c r="E169" t="s">
        <v>297</v>
      </c>
      <c r="F169">
        <v>5</v>
      </c>
      <c r="G169">
        <v>180</v>
      </c>
      <c r="H169">
        <v>900</v>
      </c>
      <c r="I169">
        <v>0.05</v>
      </c>
      <c r="J169">
        <v>157.5</v>
      </c>
      <c r="K169">
        <f t="shared" si="10"/>
        <v>2025</v>
      </c>
      <c r="L169">
        <f t="shared" si="11"/>
        <v>1</v>
      </c>
    </row>
    <row r="170" spans="1:12" x14ac:dyDescent="0.3">
      <c r="A170" t="s">
        <v>178</v>
      </c>
      <c r="B170" t="s">
        <v>257</v>
      </c>
      <c r="C170" t="s">
        <v>278</v>
      </c>
      <c r="D170" t="s">
        <v>292</v>
      </c>
      <c r="E170" t="s">
        <v>302</v>
      </c>
      <c r="F170">
        <v>1</v>
      </c>
      <c r="G170">
        <v>60</v>
      </c>
      <c r="H170">
        <v>60</v>
      </c>
      <c r="I170">
        <v>0.1</v>
      </c>
      <c r="J170">
        <v>9</v>
      </c>
      <c r="K170">
        <f t="shared" si="10"/>
        <v>2025</v>
      </c>
      <c r="L170">
        <f t="shared" si="11"/>
        <v>1</v>
      </c>
    </row>
    <row r="171" spans="1:12" x14ac:dyDescent="0.3">
      <c r="A171" t="s">
        <v>179</v>
      </c>
      <c r="B171" t="s">
        <v>230</v>
      </c>
      <c r="C171" t="s">
        <v>269</v>
      </c>
      <c r="D171" t="s">
        <v>291</v>
      </c>
      <c r="E171" t="s">
        <v>302</v>
      </c>
      <c r="F171">
        <v>3</v>
      </c>
      <c r="G171">
        <v>60</v>
      </c>
      <c r="H171">
        <v>180</v>
      </c>
      <c r="I171">
        <v>0.05</v>
      </c>
      <c r="J171">
        <v>31.5</v>
      </c>
      <c r="K171">
        <f t="shared" si="10"/>
        <v>2025</v>
      </c>
      <c r="L171">
        <f t="shared" si="11"/>
        <v>1</v>
      </c>
    </row>
    <row r="172" spans="1:12" x14ac:dyDescent="0.3">
      <c r="A172" t="s">
        <v>180</v>
      </c>
      <c r="B172" t="s">
        <v>229</v>
      </c>
      <c r="C172" t="s">
        <v>272</v>
      </c>
      <c r="D172" t="s">
        <v>291</v>
      </c>
      <c r="E172" t="s">
        <v>293</v>
      </c>
      <c r="F172">
        <v>3</v>
      </c>
      <c r="G172">
        <v>220</v>
      </c>
      <c r="H172">
        <v>660</v>
      </c>
      <c r="I172">
        <v>0.1</v>
      </c>
      <c r="J172">
        <v>99</v>
      </c>
      <c r="K172">
        <f t="shared" si="10"/>
        <v>2025</v>
      </c>
      <c r="L172">
        <f t="shared" si="11"/>
        <v>2</v>
      </c>
    </row>
    <row r="173" spans="1:12" x14ac:dyDescent="0.3">
      <c r="A173" t="s">
        <v>181</v>
      </c>
      <c r="B173" t="s">
        <v>219</v>
      </c>
      <c r="C173" t="s">
        <v>275</v>
      </c>
      <c r="D173" t="s">
        <v>289</v>
      </c>
      <c r="E173" t="s">
        <v>300</v>
      </c>
      <c r="F173">
        <v>1</v>
      </c>
      <c r="G173">
        <v>130</v>
      </c>
      <c r="H173">
        <v>130</v>
      </c>
      <c r="I173">
        <v>0</v>
      </c>
      <c r="J173">
        <v>26</v>
      </c>
      <c r="K173">
        <f t="shared" si="10"/>
        <v>2025</v>
      </c>
      <c r="L173">
        <f t="shared" si="11"/>
        <v>2</v>
      </c>
    </row>
    <row r="174" spans="1:12" x14ac:dyDescent="0.3">
      <c r="A174" t="s">
        <v>182</v>
      </c>
      <c r="B174" t="s">
        <v>214</v>
      </c>
      <c r="C174" t="s">
        <v>281</v>
      </c>
      <c r="D174" t="s">
        <v>291</v>
      </c>
      <c r="E174" t="s">
        <v>301</v>
      </c>
      <c r="F174">
        <v>5</v>
      </c>
      <c r="G174">
        <v>250</v>
      </c>
      <c r="H174">
        <v>1250</v>
      </c>
      <c r="I174">
        <v>0.1</v>
      </c>
      <c r="J174">
        <v>187.5</v>
      </c>
      <c r="K174">
        <f t="shared" si="10"/>
        <v>2025</v>
      </c>
      <c r="L174">
        <f t="shared" si="11"/>
        <v>1</v>
      </c>
    </row>
    <row r="175" spans="1:12" x14ac:dyDescent="0.3">
      <c r="A175" t="s">
        <v>183</v>
      </c>
      <c r="B175" t="s">
        <v>224</v>
      </c>
      <c r="C175" t="s">
        <v>275</v>
      </c>
      <c r="D175" t="s">
        <v>291</v>
      </c>
      <c r="E175" t="s">
        <v>299</v>
      </c>
      <c r="F175">
        <v>1</v>
      </c>
      <c r="G175">
        <v>90</v>
      </c>
      <c r="H175">
        <v>90</v>
      </c>
      <c r="I175">
        <v>0.1</v>
      </c>
      <c r="J175">
        <v>13.5</v>
      </c>
      <c r="K175">
        <f t="shared" si="10"/>
        <v>2025</v>
      </c>
      <c r="L175">
        <f t="shared" si="11"/>
        <v>2</v>
      </c>
    </row>
    <row r="176" spans="1:12" x14ac:dyDescent="0.3">
      <c r="A176" t="s">
        <v>184</v>
      </c>
      <c r="B176" t="s">
        <v>233</v>
      </c>
      <c r="C176" t="s">
        <v>283</v>
      </c>
      <c r="D176" t="s">
        <v>289</v>
      </c>
      <c r="E176" t="s">
        <v>298</v>
      </c>
      <c r="F176">
        <v>4</v>
      </c>
      <c r="G176">
        <v>150</v>
      </c>
      <c r="H176">
        <v>600</v>
      </c>
      <c r="I176">
        <v>0.1</v>
      </c>
      <c r="J176">
        <v>90</v>
      </c>
      <c r="K176">
        <f t="shared" si="10"/>
        <v>2025</v>
      </c>
      <c r="L176">
        <f t="shared" si="11"/>
        <v>1</v>
      </c>
    </row>
    <row r="177" spans="1:12" x14ac:dyDescent="0.3">
      <c r="A177" t="s">
        <v>185</v>
      </c>
      <c r="B177" t="s">
        <v>268</v>
      </c>
      <c r="C177" t="s">
        <v>278</v>
      </c>
      <c r="D177" t="s">
        <v>291</v>
      </c>
      <c r="E177" t="s">
        <v>298</v>
      </c>
      <c r="F177">
        <v>2</v>
      </c>
      <c r="G177">
        <v>150</v>
      </c>
      <c r="H177">
        <v>300</v>
      </c>
      <c r="I177">
        <v>0.05</v>
      </c>
      <c r="J177">
        <v>52.5</v>
      </c>
      <c r="K177">
        <f t="shared" si="10"/>
        <v>2025</v>
      </c>
      <c r="L177">
        <f t="shared" si="11"/>
        <v>2</v>
      </c>
    </row>
    <row r="178" spans="1:12" x14ac:dyDescent="0.3">
      <c r="A178" t="s">
        <v>186</v>
      </c>
      <c r="B178" t="s">
        <v>217</v>
      </c>
      <c r="C178" t="s">
        <v>275</v>
      </c>
      <c r="D178" t="s">
        <v>290</v>
      </c>
      <c r="E178" t="s">
        <v>297</v>
      </c>
      <c r="F178">
        <v>3</v>
      </c>
      <c r="G178">
        <v>180</v>
      </c>
      <c r="H178">
        <v>540</v>
      </c>
      <c r="I178">
        <v>0</v>
      </c>
      <c r="J178">
        <v>108</v>
      </c>
      <c r="K178">
        <f t="shared" si="10"/>
        <v>2025</v>
      </c>
      <c r="L178">
        <f t="shared" si="11"/>
        <v>1</v>
      </c>
    </row>
    <row r="179" spans="1:12" x14ac:dyDescent="0.3">
      <c r="A179" t="s">
        <v>187</v>
      </c>
      <c r="B179" t="s">
        <v>248</v>
      </c>
      <c r="C179" t="s">
        <v>273</v>
      </c>
      <c r="D179" t="s">
        <v>291</v>
      </c>
      <c r="E179" t="s">
        <v>298</v>
      </c>
      <c r="F179">
        <v>2</v>
      </c>
      <c r="G179">
        <v>150</v>
      </c>
      <c r="H179">
        <v>300</v>
      </c>
      <c r="I179">
        <v>0.1</v>
      </c>
      <c r="J179">
        <v>45</v>
      </c>
      <c r="K179">
        <f t="shared" si="10"/>
        <v>2025</v>
      </c>
      <c r="L179">
        <f t="shared" si="11"/>
        <v>2</v>
      </c>
    </row>
    <row r="180" spans="1:12" x14ac:dyDescent="0.3">
      <c r="A180" t="s">
        <v>188</v>
      </c>
      <c r="B180" t="s">
        <v>230</v>
      </c>
      <c r="C180" t="s">
        <v>278</v>
      </c>
      <c r="D180" t="s">
        <v>289</v>
      </c>
      <c r="E180" t="s">
        <v>296</v>
      </c>
      <c r="F180">
        <v>5</v>
      </c>
      <c r="G180">
        <v>80</v>
      </c>
      <c r="H180">
        <v>400</v>
      </c>
      <c r="I180">
        <v>0.05</v>
      </c>
      <c r="J180">
        <v>70</v>
      </c>
      <c r="K180">
        <f t="shared" si="10"/>
        <v>2025</v>
      </c>
      <c r="L180">
        <f t="shared" si="11"/>
        <v>1</v>
      </c>
    </row>
    <row r="181" spans="1:12" x14ac:dyDescent="0.3">
      <c r="A181" t="s">
        <v>189</v>
      </c>
      <c r="B181" t="s">
        <v>234</v>
      </c>
      <c r="C181" t="s">
        <v>288</v>
      </c>
      <c r="D181" t="s">
        <v>289</v>
      </c>
      <c r="E181" t="s">
        <v>298</v>
      </c>
      <c r="F181">
        <v>4</v>
      </c>
      <c r="G181">
        <v>150</v>
      </c>
      <c r="H181">
        <v>600</v>
      </c>
      <c r="I181">
        <v>0</v>
      </c>
      <c r="J181">
        <v>120</v>
      </c>
      <c r="K181">
        <f t="shared" si="10"/>
        <v>2025</v>
      </c>
      <c r="L181">
        <f t="shared" si="11"/>
        <v>1</v>
      </c>
    </row>
    <row r="182" spans="1:12" x14ac:dyDescent="0.3">
      <c r="A182" t="s">
        <v>190</v>
      </c>
      <c r="B182" t="s">
        <v>251</v>
      </c>
      <c r="C182" t="s">
        <v>281</v>
      </c>
      <c r="D182" t="s">
        <v>292</v>
      </c>
      <c r="E182" t="s">
        <v>294</v>
      </c>
      <c r="F182">
        <v>5</v>
      </c>
      <c r="G182">
        <v>120</v>
      </c>
      <c r="H182">
        <v>600</v>
      </c>
      <c r="I182">
        <v>0.1</v>
      </c>
      <c r="J182">
        <v>90</v>
      </c>
      <c r="K182">
        <f t="shared" si="10"/>
        <v>2025</v>
      </c>
      <c r="L182">
        <f t="shared" si="11"/>
        <v>2</v>
      </c>
    </row>
    <row r="183" spans="1:12" x14ac:dyDescent="0.3">
      <c r="A183" t="s">
        <v>191</v>
      </c>
      <c r="B183" t="s">
        <v>257</v>
      </c>
      <c r="C183" t="s">
        <v>277</v>
      </c>
      <c r="D183" t="s">
        <v>289</v>
      </c>
      <c r="E183" t="s">
        <v>297</v>
      </c>
      <c r="F183">
        <v>2</v>
      </c>
      <c r="G183">
        <v>180</v>
      </c>
      <c r="H183">
        <v>360</v>
      </c>
      <c r="I183">
        <v>0</v>
      </c>
      <c r="J183">
        <v>72</v>
      </c>
      <c r="K183">
        <f t="shared" si="10"/>
        <v>2025</v>
      </c>
      <c r="L183">
        <f t="shared" si="11"/>
        <v>1</v>
      </c>
    </row>
    <row r="184" spans="1:12" x14ac:dyDescent="0.3">
      <c r="A184" t="s">
        <v>192</v>
      </c>
      <c r="B184" t="s">
        <v>263</v>
      </c>
      <c r="C184" t="s">
        <v>270</v>
      </c>
      <c r="D184" t="s">
        <v>292</v>
      </c>
      <c r="E184" t="s">
        <v>300</v>
      </c>
      <c r="F184">
        <v>3</v>
      </c>
      <c r="G184">
        <v>130</v>
      </c>
      <c r="H184">
        <v>390</v>
      </c>
      <c r="I184">
        <v>0.05</v>
      </c>
      <c r="J184">
        <v>68.25</v>
      </c>
      <c r="K184">
        <f t="shared" si="10"/>
        <v>2025</v>
      </c>
      <c r="L184">
        <f t="shared" si="11"/>
        <v>1</v>
      </c>
    </row>
    <row r="185" spans="1:12" x14ac:dyDescent="0.3">
      <c r="A185" t="s">
        <v>193</v>
      </c>
      <c r="B185" t="s">
        <v>229</v>
      </c>
      <c r="C185" t="s">
        <v>270</v>
      </c>
      <c r="D185" t="s">
        <v>289</v>
      </c>
      <c r="E185" t="s">
        <v>302</v>
      </c>
      <c r="F185">
        <v>4</v>
      </c>
      <c r="G185">
        <v>60</v>
      </c>
      <c r="H185">
        <v>240</v>
      </c>
      <c r="I185">
        <v>0</v>
      </c>
      <c r="J185">
        <v>48</v>
      </c>
      <c r="K185">
        <f t="shared" si="10"/>
        <v>2025</v>
      </c>
      <c r="L185">
        <f t="shared" si="11"/>
        <v>2</v>
      </c>
    </row>
    <row r="186" spans="1:12" x14ac:dyDescent="0.3">
      <c r="A186" t="s">
        <v>194</v>
      </c>
      <c r="B186" t="s">
        <v>233</v>
      </c>
      <c r="C186" t="s">
        <v>277</v>
      </c>
      <c r="D186" t="s">
        <v>291</v>
      </c>
      <c r="E186" t="s">
        <v>302</v>
      </c>
      <c r="F186">
        <v>5</v>
      </c>
      <c r="G186">
        <v>60</v>
      </c>
      <c r="H186">
        <v>300</v>
      </c>
      <c r="I186">
        <v>0</v>
      </c>
      <c r="J186">
        <v>60</v>
      </c>
      <c r="K186">
        <f t="shared" si="10"/>
        <v>2025</v>
      </c>
      <c r="L186">
        <f t="shared" si="11"/>
        <v>1</v>
      </c>
    </row>
    <row r="187" spans="1:12" x14ac:dyDescent="0.3">
      <c r="A187" t="s">
        <v>195</v>
      </c>
      <c r="B187" t="s">
        <v>264</v>
      </c>
      <c r="C187" t="s">
        <v>288</v>
      </c>
      <c r="D187" t="s">
        <v>291</v>
      </c>
      <c r="E187" t="s">
        <v>298</v>
      </c>
      <c r="F187">
        <v>3</v>
      </c>
      <c r="G187">
        <v>150</v>
      </c>
      <c r="H187">
        <v>450</v>
      </c>
      <c r="I187">
        <v>0</v>
      </c>
      <c r="J187">
        <v>90</v>
      </c>
      <c r="K187">
        <f t="shared" si="10"/>
        <v>2025</v>
      </c>
      <c r="L187">
        <f t="shared" si="11"/>
        <v>1</v>
      </c>
    </row>
    <row r="188" spans="1:12" x14ac:dyDescent="0.3">
      <c r="A188" t="s">
        <v>196</v>
      </c>
      <c r="B188" t="s">
        <v>263</v>
      </c>
      <c r="C188" t="s">
        <v>271</v>
      </c>
      <c r="D188" t="s">
        <v>290</v>
      </c>
      <c r="E188" t="s">
        <v>301</v>
      </c>
      <c r="F188">
        <v>2</v>
      </c>
      <c r="G188">
        <v>250</v>
      </c>
      <c r="H188">
        <v>500</v>
      </c>
      <c r="I188">
        <v>0.1</v>
      </c>
      <c r="J188">
        <v>75</v>
      </c>
      <c r="K188">
        <f t="shared" si="10"/>
        <v>2025</v>
      </c>
      <c r="L188">
        <f t="shared" si="11"/>
        <v>1</v>
      </c>
    </row>
    <row r="189" spans="1:12" x14ac:dyDescent="0.3">
      <c r="A189" t="s">
        <v>197</v>
      </c>
      <c r="B189" t="s">
        <v>219</v>
      </c>
      <c r="C189" t="s">
        <v>279</v>
      </c>
      <c r="D189" t="s">
        <v>289</v>
      </c>
      <c r="E189" t="s">
        <v>294</v>
      </c>
      <c r="F189">
        <v>4</v>
      </c>
      <c r="G189">
        <v>120</v>
      </c>
      <c r="H189">
        <v>480</v>
      </c>
      <c r="I189">
        <v>0.1</v>
      </c>
      <c r="J189">
        <v>72</v>
      </c>
      <c r="K189">
        <f t="shared" si="10"/>
        <v>2025</v>
      </c>
      <c r="L189">
        <f t="shared" si="11"/>
        <v>2</v>
      </c>
    </row>
    <row r="190" spans="1:12" x14ac:dyDescent="0.3">
      <c r="A190" t="s">
        <v>198</v>
      </c>
      <c r="B190" t="s">
        <v>224</v>
      </c>
      <c r="C190" t="s">
        <v>280</v>
      </c>
      <c r="D190" t="s">
        <v>289</v>
      </c>
      <c r="E190" t="s">
        <v>301</v>
      </c>
      <c r="F190">
        <v>3</v>
      </c>
      <c r="G190">
        <v>250</v>
      </c>
      <c r="H190">
        <v>750</v>
      </c>
      <c r="I190">
        <v>0</v>
      </c>
      <c r="J190">
        <v>150</v>
      </c>
      <c r="K190">
        <f t="shared" si="10"/>
        <v>2025</v>
      </c>
      <c r="L190">
        <f t="shared" si="11"/>
        <v>2</v>
      </c>
    </row>
    <row r="191" spans="1:12" x14ac:dyDescent="0.3">
      <c r="A191" t="s">
        <v>199</v>
      </c>
      <c r="B191" t="s">
        <v>228</v>
      </c>
      <c r="C191" t="s">
        <v>285</v>
      </c>
      <c r="D191" t="s">
        <v>291</v>
      </c>
      <c r="E191" t="s">
        <v>299</v>
      </c>
      <c r="F191">
        <v>1</v>
      </c>
      <c r="G191">
        <v>90</v>
      </c>
      <c r="H191">
        <v>90</v>
      </c>
      <c r="I191">
        <v>0.1</v>
      </c>
      <c r="J191">
        <v>13.5</v>
      </c>
      <c r="K191">
        <f t="shared" si="10"/>
        <v>2025</v>
      </c>
      <c r="L191">
        <f t="shared" si="11"/>
        <v>1</v>
      </c>
    </row>
    <row r="192" spans="1:12" x14ac:dyDescent="0.3">
      <c r="A192" t="s">
        <v>200</v>
      </c>
      <c r="B192" t="s">
        <v>233</v>
      </c>
      <c r="C192" t="s">
        <v>285</v>
      </c>
      <c r="D192" t="s">
        <v>290</v>
      </c>
      <c r="E192" t="s">
        <v>299</v>
      </c>
      <c r="F192">
        <v>3</v>
      </c>
      <c r="G192">
        <v>90</v>
      </c>
      <c r="H192">
        <v>270</v>
      </c>
      <c r="I192">
        <v>0</v>
      </c>
      <c r="J192">
        <v>54</v>
      </c>
      <c r="K192">
        <f t="shared" si="10"/>
        <v>2025</v>
      </c>
      <c r="L192">
        <f t="shared" si="11"/>
        <v>1</v>
      </c>
    </row>
    <row r="193" spans="1:12" x14ac:dyDescent="0.3">
      <c r="A193" t="s">
        <v>201</v>
      </c>
      <c r="B193" t="s">
        <v>230</v>
      </c>
      <c r="C193" t="s">
        <v>287</v>
      </c>
      <c r="D193" t="s">
        <v>289</v>
      </c>
      <c r="E193" t="s">
        <v>302</v>
      </c>
      <c r="F193">
        <v>2</v>
      </c>
      <c r="G193">
        <v>60</v>
      </c>
      <c r="H193">
        <v>120</v>
      </c>
      <c r="I193">
        <v>0</v>
      </c>
      <c r="J193">
        <v>24</v>
      </c>
      <c r="K193">
        <f t="shared" si="10"/>
        <v>2025</v>
      </c>
      <c r="L193">
        <f t="shared" si="11"/>
        <v>1</v>
      </c>
    </row>
    <row r="194" spans="1:12" x14ac:dyDescent="0.3">
      <c r="A194" t="s">
        <v>202</v>
      </c>
      <c r="B194" t="s">
        <v>235</v>
      </c>
      <c r="C194" t="s">
        <v>288</v>
      </c>
      <c r="D194" t="s">
        <v>289</v>
      </c>
      <c r="E194" t="s">
        <v>296</v>
      </c>
      <c r="F194">
        <v>5</v>
      </c>
      <c r="G194">
        <v>80</v>
      </c>
      <c r="H194">
        <v>400</v>
      </c>
      <c r="I194">
        <v>0.1</v>
      </c>
      <c r="J194">
        <v>60</v>
      </c>
      <c r="K194">
        <f t="shared" ref="K194:K201" si="12">YEAR(B194)</f>
        <v>2025</v>
      </c>
      <c r="L194">
        <f t="shared" ref="L194:L201" si="13">MONTH(B194)</f>
        <v>1</v>
      </c>
    </row>
    <row r="195" spans="1:12" x14ac:dyDescent="0.3">
      <c r="A195" t="s">
        <v>203</v>
      </c>
      <c r="B195" t="s">
        <v>253</v>
      </c>
      <c r="C195" t="s">
        <v>288</v>
      </c>
      <c r="D195" t="s">
        <v>292</v>
      </c>
      <c r="E195" t="s">
        <v>294</v>
      </c>
      <c r="F195">
        <v>2</v>
      </c>
      <c r="G195">
        <v>120</v>
      </c>
      <c r="H195">
        <v>240</v>
      </c>
      <c r="I195">
        <v>0.1</v>
      </c>
      <c r="J195">
        <v>36</v>
      </c>
      <c r="K195">
        <f t="shared" si="12"/>
        <v>2025</v>
      </c>
      <c r="L195">
        <f t="shared" si="13"/>
        <v>2</v>
      </c>
    </row>
    <row r="196" spans="1:12" x14ac:dyDescent="0.3">
      <c r="A196" t="s">
        <v>204</v>
      </c>
      <c r="B196" t="s">
        <v>259</v>
      </c>
      <c r="C196" t="s">
        <v>270</v>
      </c>
      <c r="D196" t="s">
        <v>291</v>
      </c>
      <c r="E196" t="s">
        <v>294</v>
      </c>
      <c r="F196">
        <v>3</v>
      </c>
      <c r="G196">
        <v>120</v>
      </c>
      <c r="H196">
        <v>360</v>
      </c>
      <c r="I196">
        <v>0</v>
      </c>
      <c r="J196">
        <v>72</v>
      </c>
      <c r="K196">
        <f t="shared" si="12"/>
        <v>2025</v>
      </c>
      <c r="L196">
        <f t="shared" si="13"/>
        <v>3</v>
      </c>
    </row>
    <row r="197" spans="1:12" x14ac:dyDescent="0.3">
      <c r="A197" t="s">
        <v>205</v>
      </c>
      <c r="B197" t="s">
        <v>268</v>
      </c>
      <c r="C197" t="s">
        <v>288</v>
      </c>
      <c r="D197" t="s">
        <v>292</v>
      </c>
      <c r="E197" t="s">
        <v>300</v>
      </c>
      <c r="F197">
        <v>5</v>
      </c>
      <c r="G197">
        <v>130</v>
      </c>
      <c r="H197">
        <v>650</v>
      </c>
      <c r="I197">
        <v>0.05</v>
      </c>
      <c r="J197">
        <v>113.75</v>
      </c>
      <c r="K197">
        <f t="shared" si="12"/>
        <v>2025</v>
      </c>
      <c r="L197">
        <f t="shared" si="13"/>
        <v>2</v>
      </c>
    </row>
    <row r="198" spans="1:12" x14ac:dyDescent="0.3">
      <c r="A198" t="s">
        <v>206</v>
      </c>
      <c r="B198" t="s">
        <v>229</v>
      </c>
      <c r="C198" t="s">
        <v>276</v>
      </c>
      <c r="D198" t="s">
        <v>292</v>
      </c>
      <c r="E198" t="s">
        <v>297</v>
      </c>
      <c r="F198">
        <v>4</v>
      </c>
      <c r="G198">
        <v>180</v>
      </c>
      <c r="H198">
        <v>720</v>
      </c>
      <c r="I198">
        <v>0.1</v>
      </c>
      <c r="J198">
        <v>108</v>
      </c>
      <c r="K198">
        <f t="shared" si="12"/>
        <v>2025</v>
      </c>
      <c r="L198">
        <f t="shared" si="13"/>
        <v>2</v>
      </c>
    </row>
    <row r="199" spans="1:12" x14ac:dyDescent="0.3">
      <c r="A199" t="s">
        <v>207</v>
      </c>
      <c r="B199" t="s">
        <v>246</v>
      </c>
      <c r="C199" t="s">
        <v>272</v>
      </c>
      <c r="D199" t="s">
        <v>289</v>
      </c>
      <c r="E199" t="s">
        <v>294</v>
      </c>
      <c r="F199">
        <v>3</v>
      </c>
      <c r="G199">
        <v>120</v>
      </c>
      <c r="H199">
        <v>360</v>
      </c>
      <c r="I199">
        <v>0</v>
      </c>
      <c r="J199">
        <v>72</v>
      </c>
      <c r="K199">
        <f t="shared" si="12"/>
        <v>2025</v>
      </c>
      <c r="L199">
        <f t="shared" si="13"/>
        <v>2</v>
      </c>
    </row>
    <row r="200" spans="1:12" x14ac:dyDescent="0.3">
      <c r="A200" t="s">
        <v>208</v>
      </c>
      <c r="B200" t="s">
        <v>250</v>
      </c>
      <c r="C200" t="s">
        <v>282</v>
      </c>
      <c r="D200" t="s">
        <v>289</v>
      </c>
      <c r="E200" t="s">
        <v>301</v>
      </c>
      <c r="F200">
        <v>4</v>
      </c>
      <c r="G200">
        <v>250</v>
      </c>
      <c r="H200">
        <v>1000</v>
      </c>
      <c r="I200">
        <v>0</v>
      </c>
      <c r="J200">
        <v>200</v>
      </c>
      <c r="K200">
        <f t="shared" si="12"/>
        <v>2025</v>
      </c>
      <c r="L200">
        <f t="shared" si="13"/>
        <v>2</v>
      </c>
    </row>
    <row r="201" spans="1:12" x14ac:dyDescent="0.3">
      <c r="A201" t="s">
        <v>209</v>
      </c>
      <c r="B201" t="s">
        <v>211</v>
      </c>
      <c r="C201" t="s">
        <v>281</v>
      </c>
      <c r="D201" t="s">
        <v>289</v>
      </c>
      <c r="E201" t="s">
        <v>297</v>
      </c>
      <c r="F201">
        <v>2</v>
      </c>
      <c r="G201">
        <v>180</v>
      </c>
      <c r="H201">
        <v>360</v>
      </c>
      <c r="I201">
        <v>0</v>
      </c>
      <c r="J201">
        <v>72</v>
      </c>
      <c r="K201">
        <f t="shared" si="12"/>
        <v>2025</v>
      </c>
      <c r="L201">
        <f t="shared" si="13"/>
        <v>3</v>
      </c>
    </row>
  </sheetData>
  <autoFilter ref="A1:L201" xr:uid="{00000000-0001-0000-0000-000000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0CF83-E0CF-4C49-ABBF-900CD5BCC4D5}">
  <dimension ref="D7:AL49"/>
  <sheetViews>
    <sheetView showGridLines="0" tabSelected="1" zoomScale="71" zoomScaleNormal="62" workbookViewId="0">
      <selection activeCell="AB25" sqref="AB25"/>
    </sheetView>
  </sheetViews>
  <sheetFormatPr defaultRowHeight="14.4" x14ac:dyDescent="0.3"/>
  <cols>
    <col min="1" max="16384" width="8.88671875" style="6"/>
  </cols>
  <sheetData>
    <row r="7" spans="11:35" x14ac:dyDescent="0.3">
      <c r="K7" s="6" t="s">
        <v>310</v>
      </c>
    </row>
    <row r="12" spans="11:35" x14ac:dyDescent="0.3">
      <c r="AI12" s="6" t="s">
        <v>312</v>
      </c>
    </row>
    <row r="25" spans="21:38" x14ac:dyDescent="0.3">
      <c r="U25" s="6" t="s">
        <v>309</v>
      </c>
    </row>
    <row r="27" spans="21:38" x14ac:dyDescent="0.3">
      <c r="AL27" s="6" t="s">
        <v>311</v>
      </c>
    </row>
    <row r="43" spans="4:36" x14ac:dyDescent="0.3">
      <c r="AJ43" s="7"/>
    </row>
    <row r="45" spans="4:36" x14ac:dyDescent="0.3">
      <c r="D45" s="7"/>
    </row>
    <row r="49" spans="34:34" ht="17.399999999999999" x14ac:dyDescent="0.45">
      <c r="AH49" s="8" t="s">
        <v>312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 SALE BY ITEAM</vt:lpstr>
      <vt:lpstr>PROFIT BY REGION</vt:lpstr>
      <vt:lpstr>MONTHALY SALES</vt:lpstr>
      <vt:lpstr>TOP 10 CUSTOMERS</vt:lpstr>
      <vt:lpstr>PROFIT BY ITEM</vt:lpstr>
      <vt:lpstr>Sheet1</vt:lpstr>
      <vt:lpstr>DATA</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 LAPTOP</cp:lastModifiedBy>
  <dcterms:created xsi:type="dcterms:W3CDTF">2025-10-13T17:40:34Z</dcterms:created>
  <dcterms:modified xsi:type="dcterms:W3CDTF">2026-04-02T18:03:05Z</dcterms:modified>
</cp:coreProperties>
</file>